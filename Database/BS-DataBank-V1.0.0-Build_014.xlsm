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esktop\BS-DATABANK\"/>
    </mc:Choice>
  </mc:AlternateContent>
  <xr:revisionPtr revIDLastSave="0" documentId="13_ncr:1_{E04BD0DC-788D-4864-A4EA-4385D337C5C0}" xr6:coauthVersionLast="47" xr6:coauthVersionMax="47" xr10:uidLastSave="{00000000-0000-0000-0000-000000000000}"/>
  <bookViews>
    <workbookView xWindow="-108" yWindow="-108" windowWidth="23256" windowHeight="12456" tabRatio="878" firstSheet="2" activeTab="3" xr2:uid="{B4D29A75-FC7E-4F1E-9AEF-ED67E8C3AE89}"/>
  </bookViews>
  <sheets>
    <sheet name="HOME" sheetId="16" r:id="rId1"/>
    <sheet name="Players_Management" sheetId="17" r:id="rId2"/>
    <sheet name="Camp_Management" sheetId="20" r:id="rId3"/>
    <sheet name="Fitness_Management" sheetId="22" r:id="rId4"/>
    <sheet name="PlayerProfile" sheetId="15" r:id="rId5"/>
    <sheet name="Photos" sheetId="19" r:id="rId6"/>
    <sheet name="Dashboard" sheetId="14" state="hidden" r:id="rId7"/>
    <sheet name="Players" sheetId="1" r:id="rId8"/>
    <sheet name="Contacts" sheetId="18" r:id="rId9"/>
    <sheet name="Staff" sheetId="2" r:id="rId10"/>
    <sheet name="Clubs" sheetId="4" state="hidden" r:id="rId11"/>
    <sheet name="Player_Club_History" sheetId="5" state="hidden" r:id="rId12"/>
    <sheet name="Camps" sheetId="6" r:id="rId13"/>
    <sheet name="Camp_Attendance" sheetId="7" r:id="rId14"/>
    <sheet name="Matches" sheetId="8" state="hidden" r:id="rId15"/>
    <sheet name="Match_Performance" sheetId="9" state="hidden" r:id="rId16"/>
    <sheet name="Fitness" sheetId="10" r:id="rId17"/>
    <sheet name="Technical Evaluation" sheetId="11" r:id="rId18"/>
    <sheet name="Medical" sheetId="12" r:id="rId19"/>
    <sheet name="Injuries" sheetId="13" r:id="rId20"/>
    <sheet name="Lookup" sheetId="3" r:id="rId21"/>
    <sheet name="FormControls " sheetId="21" r:id="rId22"/>
  </sheets>
  <functionGroups builtInGroupCount="19"/>
  <definedNames>
    <definedName name="_xlpm.b" hidden="1" xlm="1">#NAME?</definedName>
    <definedName name="_xlpm.bd" hidden="1" xlm="1">#NAME?</definedName>
    <definedName name="_xlpm.bm" hidden="1" xlm="1">#NAME?</definedName>
    <definedName name="_xlpm.bmi" hidden="1" xlm="1">#NAME?</definedName>
    <definedName name="_xlpm.by" hidden="1" xlm="1">#NAME?</definedName>
    <definedName name="_xlpm.captain" hidden="1" xlm="1">#NAME?</definedName>
    <definedName name="_xlpm.cd" hidden="1" xlm="1">#NAME?</definedName>
    <definedName name="_xlpm.cm" hidden="1" xlm="1">#NAME?</definedName>
    <definedName name="_xlpm.cy" hidden="1" xlm="1">#NAME?</definedName>
    <definedName name="_xlpm.d" hidden="1" xlm="1">#NAME?</definedName>
    <definedName name="_xlpm.data" hidden="1" xlm="1">#NAME?</definedName>
    <definedName name="_xlpm.finish" hidden="1" xlm="1">#NAME?</definedName>
    <definedName name="_xlpm.id" hidden="1" xlm="1">#NAME?</definedName>
    <definedName name="_xlpm.name" hidden="1" xlm="1">#NAME?</definedName>
    <definedName name="_xlpm.notes" hidden="1" xlm="1">#NAME?</definedName>
    <definedName name="_xlpm.result" hidden="1" xlm="1">#NAME?</definedName>
    <definedName name="_xlpm.shirt" hidden="1" xlm="1">#NAME?</definedName>
    <definedName name="_xlpm.start" hidden="1" xlm="1">#NAME?</definedName>
    <definedName name="_xlpm.testDate" hidden="1" xlm="1">#NAME?</definedName>
    <definedName name="_xlpm.uniqueID" hidden="1" xlm="1">#NAME?</definedName>
    <definedName name="_xlpm.v" hidden="1" xlm="1">#NAME?</definedName>
    <definedName name="_xlpm.x" hidden="1" xlm="1">#NAME?</definedName>
    <definedName name="FitScoreTbl">Table23[#All]</definedName>
    <definedName name="InviteStat">Lookup!$E$11:$E$15</definedName>
    <definedName name="LastUpdateDate">Players_Management!$B$2</definedName>
    <definedName name="MatchPrfTbl">Table11[#All]</definedName>
    <definedName name="Pic6189076543">Photos!$A$5</definedName>
    <definedName name="PlayerProfileSSID">PlayerProfile!$Z$1</definedName>
    <definedName name="PresenceStat">Lookup!$I$10:$I$16</definedName>
    <definedName name="SelectedPlayerID">Players_Management!$Z$1</definedName>
    <definedName name="TodayDateShamsi">Players_Management!$B$1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22" l="1"/>
  <c r="G13" i="10" a="1"/>
  <c r="G13" i="10" s="1"/>
  <c r="Z6" i="22"/>
  <c r="Z7" i="22"/>
  <c r="X2" i="22" a="1"/>
  <c r="X2" i="22" s="1"/>
  <c r="H11" i="20"/>
  <c r="E11" i="20"/>
  <c r="B11" i="20"/>
  <c r="J10" i="20"/>
  <c r="H10" i="20"/>
  <c r="E10" i="20"/>
  <c r="B10" i="20"/>
  <c r="Y13" i="20" a="1"/>
  <c r="Y13" i="20" s="1"/>
  <c r="Z6" i="20"/>
  <c r="H19" i="20" s="1" a="1"/>
  <c r="H19" i="20" s="1"/>
  <c r="Z7" i="20" a="1"/>
  <c r="Z7" i="20" s="1"/>
  <c r="AA19" i="20" l="1" a="1"/>
  <c r="AA19" i="20" s="1"/>
  <c r="H9" i="20"/>
  <c r="B9" i="20"/>
  <c r="E9" i="20"/>
  <c r="G19" i="20" a="1"/>
  <c r="G19" i="20" s="1"/>
  <c r="J9" i="20"/>
  <c r="A19" i="20" a="1"/>
  <c r="A19" i="20" s="1"/>
  <c r="I19" i="20" a="1"/>
  <c r="I19" i="20" s="1"/>
  <c r="D19" i="20" a="1"/>
  <c r="D19" i="20" s="1"/>
  <c r="E19" i="20" a="1"/>
  <c r="E19" i="20" s="1"/>
  <c r="F19" i="20" a="1"/>
  <c r="F19" i="20" s="1"/>
  <c r="Z1" i="15" a="1"/>
  <c r="Z1" i="15" s="1"/>
  <c r="C19" i="20" l="1" a="1"/>
  <c r="C19" i="20" s="1"/>
  <c r="B19" i="20" a="1"/>
  <c r="B19" i="20" s="1"/>
  <c r="I11" i="15" a="1"/>
  <c r="I11" i="15" s="1"/>
  <c r="X3" i="15" a="1"/>
  <c r="X3" i="15" s="1"/>
  <c r="G3" i="10" a="1"/>
  <c r="G3" i="10" s="1"/>
  <c r="G4" i="10" a="1"/>
  <c r="G4" i="10" s="1"/>
  <c r="G5" i="10" a="1"/>
  <c r="G5" i="10" s="1"/>
  <c r="G6" i="10" a="1"/>
  <c r="G6" i="10" s="1"/>
  <c r="G7" i="10" a="1"/>
  <c r="G7" i="10" s="1"/>
  <c r="G8" i="10" a="1"/>
  <c r="G8" i="10" s="1"/>
  <c r="G9" i="10" a="1"/>
  <c r="G9" i="10" s="1"/>
  <c r="G10" i="10" a="1"/>
  <c r="G10" i="10" s="1"/>
  <c r="G11" i="10" a="1"/>
  <c r="G11" i="10" s="1"/>
  <c r="G12" i="10" a="1"/>
  <c r="G12" i="10" s="1"/>
  <c r="B30" i="15"/>
  <c r="F29" i="15"/>
  <c r="E29" i="15"/>
  <c r="D29" i="15"/>
  <c r="C29" i="15"/>
  <c r="B29" i="15"/>
  <c r="Z1" i="17"/>
  <c r="G6" i="17" a="1"/>
  <c r="B2" i="17"/>
  <c r="D19" i="17" a="1"/>
  <c r="D18" i="17" a="1"/>
  <c r="I6" i="17" a="1"/>
  <c r="J6" i="17" a="1"/>
  <c r="H6" i="17" a="1"/>
  <c r="F6" i="17" a="1"/>
  <c r="E6" i="17" a="1"/>
  <c r="D6" i="17" a="1"/>
  <c r="D16" i="17" a="1"/>
  <c r="D17" i="17" a="1"/>
  <c r="I14" i="15" l="1" a="1"/>
  <c r="I14" i="15" s="1"/>
  <c r="C34" i="15" a="1"/>
  <c r="C34" i="15" s="1"/>
  <c r="C35" i="15" a="1"/>
  <c r="C35" i="15" s="1"/>
  <c r="C36" i="15" a="1"/>
  <c r="C36" i="15" s="1"/>
  <c r="C37" i="15" a="1"/>
  <c r="C37" i="15" s="1"/>
  <c r="C38" i="15" a="1"/>
  <c r="C38" i="15" s="1"/>
  <c r="Z46" i="15" a="1"/>
  <c r="Z46" i="15" s="1"/>
  <c r="AA46" i="15" a="1"/>
  <c r="AA46" i="15" s="1"/>
  <c r="F13" i="15" a="1"/>
  <c r="F13" i="15" s="1"/>
  <c r="F14" i="15" a="1"/>
  <c r="F14" i="15" s="1"/>
  <c r="F15" i="15" a="1"/>
  <c r="F15" i="15" s="1"/>
  <c r="AB12" i="15" a="1"/>
  <c r="I10" i="15" a="1"/>
  <c r="I10" i="15" s="1"/>
  <c r="Z12" i="15" a="1"/>
  <c r="B25" i="15" s="1"/>
  <c r="F12" i="15" a="1"/>
  <c r="F12" i="15" s="1"/>
  <c r="AC12" i="15" a="1"/>
  <c r="E25" i="15" s="1"/>
  <c r="AD12" i="15" a="1"/>
  <c r="F25" i="15" s="1"/>
  <c r="D27" i="15"/>
  <c r="AE12" i="15" a="1"/>
  <c r="B26" i="15" s="1"/>
  <c r="I12" i="15" a="1"/>
  <c r="I12" i="15" s="1"/>
  <c r="AA12" i="15" a="1"/>
  <c r="C25" i="15" s="1"/>
  <c r="F17" i="15"/>
  <c r="F16" i="15" a="1"/>
  <c r="F11" i="15" a="1"/>
  <c r="F9" i="15" a="1"/>
  <c r="F10" i="15" a="1"/>
  <c r="AB12" i="15" l="1"/>
  <c r="D23" i="15" s="1"/>
  <c r="D25" i="15"/>
  <c r="AE12" i="15"/>
  <c r="B24" i="15" s="1"/>
  <c r="B28" i="15"/>
  <c r="AD12" i="15"/>
  <c r="F23" i="15" s="1"/>
  <c r="F27" i="15"/>
  <c r="AA12" i="15"/>
  <c r="C23" i="15" s="1"/>
  <c r="C27" i="15"/>
  <c r="AC12" i="15"/>
  <c r="E23" i="15" s="1"/>
  <c r="E27" i="15"/>
  <c r="Z12" i="15"/>
  <c r="B23" i="15" s="1"/>
  <c r="B27" i="15"/>
  <c r="D19" i="17"/>
  <c r="F19" i="17" s="1"/>
  <c r="D18" i="17"/>
  <c r="E18" i="17" s="1"/>
  <c r="D17" i="17"/>
  <c r="H17" i="17" s="1"/>
  <c r="D16" i="17"/>
  <c r="J16" i="17" s="1"/>
  <c r="J6" i="17"/>
  <c r="I6" i="17"/>
  <c r="H6" i="17"/>
  <c r="G6" i="17"/>
  <c r="F6" i="17"/>
  <c r="E6" i="17"/>
  <c r="D6" i="17"/>
  <c r="F16" i="15"/>
  <c r="F11" i="15"/>
  <c r="F10" i="15"/>
  <c r="F9" i="15"/>
  <c r="F18" i="17" l="1"/>
  <c r="E16" i="17"/>
  <c r="H16" i="17"/>
  <c r="E19" i="17"/>
  <c r="J18" i="17" s="1"/>
  <c r="H18" i="17" s="1"/>
  <c r="J17" i="17" s="1"/>
  <c r="F16" i="17" s="1"/>
  <c r="E17" i="17"/>
  <c r="H19" i="17"/>
  <c r="J19" i="17"/>
  <c r="F17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Rohammaster</author>
  </authors>
  <commentList>
    <comment ref="U1" authorId="0" shapeId="0" xr:uid="{49B3F7FF-6BC2-4447-8463-F9B36B8041F6}">
      <text>
        <r>
          <rPr>
            <b/>
            <sz val="9"/>
            <color indexed="81"/>
            <rFont val="Tahoma"/>
            <family val="2"/>
          </rPr>
          <t>بله / خیر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<sst xmlns="http://schemas.openxmlformats.org/spreadsheetml/2006/main" count="1173" uniqueCount="766">
  <si>
    <t>PlayerID</t>
  </si>
  <si>
    <t>نام</t>
  </si>
  <si>
    <t>نام خانوادگی</t>
  </si>
  <si>
    <t>کد ملی</t>
  </si>
  <si>
    <t>تاریخ تولد</t>
  </si>
  <si>
    <t>قد</t>
  </si>
  <si>
    <t>وزن</t>
  </si>
  <si>
    <t>پست</t>
  </si>
  <si>
    <t>شماره تماس</t>
  </si>
  <si>
    <t>پست اصلی</t>
  </si>
  <si>
    <t>پای تخصصی</t>
  </si>
  <si>
    <t>وضعیت</t>
  </si>
  <si>
    <t>توضیحات</t>
  </si>
  <si>
    <t>سمت</t>
  </si>
  <si>
    <t>مدرک مربیگری</t>
  </si>
  <si>
    <t>تاریخ شروع همکاری</t>
  </si>
  <si>
    <t>تاریخ پایان همکاری</t>
  </si>
  <si>
    <t>فعال</t>
  </si>
  <si>
    <t>مصدوم</t>
  </si>
  <si>
    <t>دعوت نشده</t>
  </si>
  <si>
    <t>بازنشسته</t>
  </si>
  <si>
    <t>سرمربی</t>
  </si>
  <si>
    <t>مربی</t>
  </si>
  <si>
    <t>مربی دروازه‌بان</t>
  </si>
  <si>
    <t>مربی بدنساز</t>
  </si>
  <si>
    <t>پزشک</t>
  </si>
  <si>
    <t>فیزیوتراپیست</t>
  </si>
  <si>
    <t>آنالیزور</t>
  </si>
  <si>
    <t>مدیر تیم</t>
  </si>
  <si>
    <t>ماساژور</t>
  </si>
  <si>
    <t>تدارکات</t>
  </si>
  <si>
    <t>رسانه</t>
  </si>
  <si>
    <t>سایر</t>
  </si>
  <si>
    <t>سمت ها</t>
  </si>
  <si>
    <t>ClubID</t>
  </si>
  <si>
    <t>نام باشگاه</t>
  </si>
  <si>
    <t>شهر</t>
  </si>
  <si>
    <t>استان</t>
  </si>
  <si>
    <t>کشور</t>
  </si>
  <si>
    <t>RecordID</t>
  </si>
  <si>
    <t>شماره رکورد</t>
  </si>
  <si>
    <t>شناسه بازیکن</t>
  </si>
  <si>
    <t>تاریخ شروع</t>
  </si>
  <si>
    <t>تاریخ پایان</t>
  </si>
  <si>
    <t>شماره پیراهن</t>
  </si>
  <si>
    <t>کاپیتان</t>
  </si>
  <si>
    <t>بله / خیر</t>
  </si>
  <si>
    <t>CampID</t>
  </si>
  <si>
    <t>عنوان اردو</t>
  </si>
  <si>
    <t>نوع اردو</t>
  </si>
  <si>
    <t>محل اردو</t>
  </si>
  <si>
    <t>وضعیت دعوت</t>
  </si>
  <si>
    <t>وضعیت حضور</t>
  </si>
  <si>
    <t>تاریخ ورود</t>
  </si>
  <si>
    <t>تاریخ خروج</t>
  </si>
  <si>
    <t>علت غیبت</t>
  </si>
  <si>
    <t>هدف اردو (آماده‌سازی، انتخابی، ریکاوری، ...)</t>
  </si>
  <si>
    <t>مسئول اردو (StaffID)</t>
  </si>
  <si>
    <t>فهرست نهایی دعوت‌شدگان</t>
  </si>
  <si>
    <t>فایل‌های مرتبط (برنامه اردو، لیست اتاق‌ها، نامه‌ها و...)</t>
  </si>
  <si>
    <t>MatchID</t>
  </si>
  <si>
    <t>شناسه مسابقه</t>
  </si>
  <si>
    <t>تاریخ مسابقه</t>
  </si>
  <si>
    <t>حریف</t>
  </si>
  <si>
    <t>تورنمنت</t>
  </si>
  <si>
    <t>مرحله</t>
  </si>
  <si>
    <t>ورزشگاه</t>
  </si>
  <si>
    <t>نتیجه</t>
  </si>
  <si>
    <t>گل ایران</t>
  </si>
  <si>
    <t>گل حریف</t>
  </si>
  <si>
    <t>وقت اضافه</t>
  </si>
  <si>
    <t>پنالتی</t>
  </si>
  <si>
    <t>پست بازی</t>
  </si>
  <si>
    <t>ترکیب اصلی</t>
  </si>
  <si>
    <t>دقیقه ورود</t>
  </si>
  <si>
    <t>دقیقه خروج</t>
  </si>
  <si>
    <t>دقایق بازی</t>
  </si>
  <si>
    <t>گل</t>
  </si>
  <si>
    <t>پاس گل</t>
  </si>
  <si>
    <t>شوت</t>
  </si>
  <si>
    <t>شوت در چارچوب</t>
  </si>
  <si>
    <t>توپ‌گیری</t>
  </si>
  <si>
    <t>قطع توپ</t>
  </si>
  <si>
    <t>خطا</t>
  </si>
  <si>
    <t>کارت زرد</t>
  </si>
  <si>
    <t>کارت قرمز</t>
  </si>
  <si>
    <t>امتیاز فنی</t>
  </si>
  <si>
    <t>بهترین بازیکن</t>
  </si>
  <si>
    <t>گل با قیچی برگردان</t>
  </si>
  <si>
    <t>گل از ضربه آزاد</t>
  </si>
  <si>
    <t>گل از پنالتی</t>
  </si>
  <si>
    <t>گل با سر</t>
  </si>
  <si>
    <t>سیو دروازه‌بان</t>
  </si>
  <si>
    <t>کلین‌شیت</t>
  </si>
  <si>
    <t>تاریخ تست</t>
  </si>
  <si>
    <t>درصد چربی بدن</t>
  </si>
  <si>
    <t>ضربان قلب استراحت</t>
  </si>
  <si>
    <t>۵ متر</t>
  </si>
  <si>
    <t>۱۰ متر</t>
  </si>
  <si>
    <t>۲۰ متر</t>
  </si>
  <si>
    <t>۳۰ متر</t>
  </si>
  <si>
    <t>تست سرعت</t>
  </si>
  <si>
    <t>پرش عمودی</t>
  </si>
  <si>
    <t>پرش افقی</t>
  </si>
  <si>
    <t>تست پرش</t>
  </si>
  <si>
    <t>Yo-Yo Test</t>
  </si>
  <si>
    <t>تست استقامت</t>
  </si>
  <si>
    <t>VO₂ Max</t>
  </si>
  <si>
    <t>قدرت پا</t>
  </si>
  <si>
    <t>قدرت مرکزی بدن (Core)</t>
  </si>
  <si>
    <t>Sit &amp; Reach</t>
  </si>
  <si>
    <t>تست قدرت</t>
  </si>
  <si>
    <t>انعطاف</t>
  </si>
  <si>
    <t>آمادگی کلی</t>
  </si>
  <si>
    <t>توضیحات مربی بدنساز</t>
  </si>
  <si>
    <t>EvaluationID</t>
  </si>
  <si>
    <t>تاریخ ارزیابی</t>
  </si>
  <si>
    <t>EvaluatorID</t>
  </si>
  <si>
    <t>کنترل توپ</t>
  </si>
  <si>
    <t>پاس</t>
  </si>
  <si>
    <t>دریبل</t>
  </si>
  <si>
    <t>بازی با پای ضعیف</t>
  </si>
  <si>
    <t>ضربه سر</t>
  </si>
  <si>
    <t>ارسال پاس بلند</t>
  </si>
  <si>
    <t>اطلاعات ارزیابی</t>
  </si>
  <si>
    <t>مهارت‌های فنی</t>
  </si>
  <si>
    <t>قیچی برگردان</t>
  </si>
  <si>
    <t>شوت از راه دور</t>
  </si>
  <si>
    <t>ضربه آزاد</t>
  </si>
  <si>
    <t>بازی روی شن</t>
  </si>
  <si>
    <t>حفظ تعادل روی شن</t>
  </si>
  <si>
    <t>کنترل توپ هوایی</t>
  </si>
  <si>
    <t>ضربه اول</t>
  </si>
  <si>
    <t>مهارت‌های اختصاصی</t>
  </si>
  <si>
    <t>تاکتیکی</t>
  </si>
  <si>
    <t>درک تاکتیکی</t>
  </si>
  <si>
    <t>جایگیری</t>
  </si>
  <si>
    <t>بازی بدون توپ</t>
  </si>
  <si>
    <t>دفاع تیمی</t>
  </si>
  <si>
    <t>پرس</t>
  </si>
  <si>
    <t>انتقال دفاع به حمله</t>
  </si>
  <si>
    <t>انتقال حمله به دفاع</t>
  </si>
  <si>
    <t>تمرکز</t>
  </si>
  <si>
    <t>اعتماد به نفس</t>
  </si>
  <si>
    <t>تصمیم‌گیری</t>
  </si>
  <si>
    <t>رهبری</t>
  </si>
  <si>
    <t>مسئولیت‌پذیری</t>
  </si>
  <si>
    <t>نظم</t>
  </si>
  <si>
    <t>جنگندگی</t>
  </si>
  <si>
    <t>نقاط قوت</t>
  </si>
  <si>
    <t>نقاط قابل بهبود</t>
  </si>
  <si>
    <t>پیشنهاد کادر فنی</t>
  </si>
  <si>
    <t>آمادگی برای مسابقه</t>
  </si>
  <si>
    <t>ذهنی</t>
  </si>
  <si>
    <t>جمع‌بندی</t>
  </si>
  <si>
    <t>گروه خونی</t>
  </si>
  <si>
    <t>آلرژی</t>
  </si>
  <si>
    <t>بیماری زمینه‌ای</t>
  </si>
  <si>
    <t>داروهای مصرفی</t>
  </si>
  <si>
    <t>سابقه جراحی</t>
  </si>
  <si>
    <t>بیمه ورزشی</t>
  </si>
  <si>
    <t>تاریخ آخرین معاینه پزشکی</t>
  </si>
  <si>
    <t>پزشک معالج</t>
  </si>
  <si>
    <t>InjuryID</t>
  </si>
  <si>
    <t>تاریخ آسیب</t>
  </si>
  <si>
    <t>محل آسیب</t>
  </si>
  <si>
    <t>نوع آسیب</t>
  </si>
  <si>
    <t>شدت آسیب</t>
  </si>
  <si>
    <t>علت آسیب</t>
  </si>
  <si>
    <t>در اردو؟</t>
  </si>
  <si>
    <t>در مسابقه؟</t>
  </si>
  <si>
    <t>مدت دوری (روز)</t>
  </si>
  <si>
    <t>تاریخ بازگشت</t>
  </si>
  <si>
    <t>تعداد کل بازیکنان</t>
  </si>
  <si>
    <t>تعداد اعضای کادر</t>
  </si>
  <si>
    <t>تعداد اردوها</t>
  </si>
  <si>
    <t>تعداد مسابقات</t>
  </si>
  <si>
    <t>تعداد بازیکنان مصدوم</t>
  </si>
  <si>
    <t>تعداد باشگاه‌ها</t>
  </si>
  <si>
    <t>وضعیت بازیکن</t>
  </si>
  <si>
    <t>راست</t>
  </si>
  <si>
    <t>چپ</t>
  </si>
  <si>
    <t>هر دو</t>
  </si>
  <si>
    <t>دروازه بان</t>
  </si>
  <si>
    <t>مدافع</t>
  </si>
  <si>
    <t>وینگر</t>
  </si>
  <si>
    <t>مهاجم</t>
  </si>
  <si>
    <t>یونیورسال</t>
  </si>
  <si>
    <t>پست بازیکن</t>
  </si>
  <si>
    <t>برد</t>
  </si>
  <si>
    <t>مساوی</t>
  </si>
  <si>
    <t>باخت</t>
  </si>
  <si>
    <t>نتیجه مسابقه</t>
  </si>
  <si>
    <t>داخلی</t>
  </si>
  <si>
    <t>خارجی</t>
  </si>
  <si>
    <t>انتخابی</t>
  </si>
  <si>
    <t>خفیف</t>
  </si>
  <si>
    <t>متوسط</t>
  </si>
  <si>
    <t>شدید</t>
  </si>
  <si>
    <t>شدت مصدومیت</t>
  </si>
  <si>
    <t>تحت درمان</t>
  </si>
  <si>
    <t>آماده بازگشت</t>
  </si>
  <si>
    <t>بهبود یافته</t>
  </si>
  <si>
    <t>وضعیت درمان</t>
  </si>
  <si>
    <t>باشگاه فعلی</t>
  </si>
  <si>
    <t>عکس</t>
  </si>
  <si>
    <t>سن</t>
  </si>
  <si>
    <t>شماره پاسپورت</t>
  </si>
  <si>
    <t>تاریخ اعتبار پاسپورت</t>
  </si>
  <si>
    <t>علی</t>
  </si>
  <si>
    <t>A+</t>
  </si>
  <si>
    <t>O-</t>
  </si>
  <si>
    <t>AB+</t>
  </si>
  <si>
    <t>کد ملی بازیکن</t>
  </si>
  <si>
    <t>باشگاه</t>
  </si>
  <si>
    <t>P001</t>
  </si>
  <si>
    <t>dsfasdf</t>
  </si>
  <si>
    <t>1405/01/01</t>
  </si>
  <si>
    <t>jrrtrr</t>
  </si>
  <si>
    <t>1404/05/01</t>
  </si>
  <si>
    <t>اصفهان</t>
  </si>
  <si>
    <t>تهران</t>
  </si>
  <si>
    <t>ایران</t>
  </si>
  <si>
    <t>مس کرمان</t>
  </si>
  <si>
    <t>کرمان</t>
  </si>
  <si>
    <t>CL001</t>
  </si>
  <si>
    <t>CL002</t>
  </si>
  <si>
    <t>CL003</t>
  </si>
  <si>
    <t>CL004</t>
  </si>
  <si>
    <t>CL005</t>
  </si>
  <si>
    <t>CL006</t>
  </si>
  <si>
    <t>CL007</t>
  </si>
  <si>
    <t>CL008</t>
  </si>
  <si>
    <t>CL009</t>
  </si>
  <si>
    <t>CL010</t>
  </si>
  <si>
    <t>CL011</t>
  </si>
  <si>
    <t>CL012</t>
  </si>
  <si>
    <t>CL013</t>
  </si>
  <si>
    <t>P002</t>
  </si>
  <si>
    <t>P003</t>
  </si>
  <si>
    <t>P004</t>
  </si>
  <si>
    <t>MedicalID</t>
  </si>
  <si>
    <t>F001</t>
  </si>
  <si>
    <t>۳۲-</t>
  </si>
  <si>
    <t>۲۸-</t>
  </si>
  <si>
    <t>۳۵+</t>
  </si>
  <si>
    <t>۲۵-</t>
  </si>
  <si>
    <t>F002</t>
  </si>
  <si>
    <t>F003</t>
  </si>
  <si>
    <t>F004</t>
  </si>
  <si>
    <t>F005</t>
  </si>
  <si>
    <t>F006</t>
  </si>
  <si>
    <t>F007</t>
  </si>
  <si>
    <t>F008</t>
  </si>
  <si>
    <t>F009</t>
  </si>
  <si>
    <t>امیرحسین</t>
  </si>
  <si>
    <t>رضاییان</t>
  </si>
  <si>
    <t>۱۳۷۵/۰۲/۱۵</t>
  </si>
  <si>
    <t>دروازه‌بان</t>
  </si>
  <si>
    <t>O+</t>
  </si>
  <si>
    <t>R۴۵۶۷۸۹۰۱۲</t>
  </si>
  <si>
    <t>۱۴۰۷/۰۸/۲۲</t>
  </si>
  <si>
    <t>سعید</t>
  </si>
  <si>
    <t>محمدپور</t>
  </si>
  <si>
    <t>۱۳۷۳/۰۶/۲۰</t>
  </si>
  <si>
    <t>P۹۸۷۶۵۴۳۲۱</t>
  </si>
  <si>
    <t>۱۴۰۶/۱۱/۰۵</t>
  </si>
  <si>
    <t>مهدی</t>
  </si>
  <si>
    <t>کریمی</t>
  </si>
  <si>
    <t>۱۳۷۶/۰۹/۱۰</t>
  </si>
  <si>
    <t>B+</t>
  </si>
  <si>
    <t>Q۱۲۳۴۵۶۷۸۹</t>
  </si>
  <si>
    <t>۱۴۰۸/۰۳/۱۴</t>
  </si>
  <si>
    <t>موسوی</t>
  </si>
  <si>
    <t>۱۳۷۱/۱۲/۰۵</t>
  </si>
  <si>
    <t>R۵۵۵۶۶۶۷۷۷</t>
  </si>
  <si>
    <t>۱۴۰۵/۰۹/۳۰</t>
  </si>
  <si>
    <t>محمد</t>
  </si>
  <si>
    <t>احمدی</t>
  </si>
  <si>
    <t>۱۳۷۷/۰۴/۲۵</t>
  </si>
  <si>
    <t>S۴۴۴۵۵۵۶۶۶</t>
  </si>
  <si>
    <t>۱۴۰۷/۱۲/۱۸</t>
  </si>
  <si>
    <t>حسین</t>
  </si>
  <si>
    <t>نوری</t>
  </si>
  <si>
    <t>۱۳۷۰/۰۸/۱۲</t>
  </si>
  <si>
    <t>A-</t>
  </si>
  <si>
    <t>T۳۳۳۴۴۴۵۵۵</t>
  </si>
  <si>
    <t>۱۴۰۶/۰۶/۰۹</t>
  </si>
  <si>
    <t>رضا</t>
  </si>
  <si>
    <t>طاهری</t>
  </si>
  <si>
    <t>۱۳۷۴/۰۳/۰۸</t>
  </si>
  <si>
    <t>U۲۲۲۳۳۳۴۴۴</t>
  </si>
  <si>
    <t>۱۴۰۸/۰۱/۲۵</t>
  </si>
  <si>
    <t>پیمان</t>
  </si>
  <si>
    <t>صادقی</t>
  </si>
  <si>
    <t>۱۳۷۸/۱۱/۰۱</t>
  </si>
  <si>
    <t>B-</t>
  </si>
  <si>
    <t>V۱۱۱۲۲۲۳۳۳</t>
  </si>
  <si>
    <t>۱۴۰۵/۰۵/۰۷</t>
  </si>
  <si>
    <t>یاسین</t>
  </si>
  <si>
    <t>عابدی</t>
  </si>
  <si>
    <t>۱۳۷۲/۰۷/۱۹</t>
  </si>
  <si>
    <t>AB-</t>
  </si>
  <si>
    <t>W۹۹۸۸۷۷۶۶۵</t>
  </si>
  <si>
    <t>۱۴۰۷/۱۰/۱۲</t>
  </si>
  <si>
    <t>بهنام</t>
  </si>
  <si>
    <t>قربانی</t>
  </si>
  <si>
    <t>۱۳۷۶/۰۲/۲۸</t>
  </si>
  <si>
    <t>X۵۵۴۴۳۳۲۲۱</t>
  </si>
  <si>
    <t>۱۴۰۶/۰۴/۱۹</t>
  </si>
  <si>
    <t>پارس جنوبی</t>
  </si>
  <si>
    <t>دریای خزر</t>
  </si>
  <si>
    <t>موج‌سواران</t>
  </si>
  <si>
    <t>عقاب‌های جنوب</t>
  </si>
  <si>
    <t>پدیده ساحل</t>
  </si>
  <si>
    <t>طوفان شن</t>
  </si>
  <si>
    <t>ستارگان خلیج</t>
  </si>
  <si>
    <t>موج آبی</t>
  </si>
  <si>
    <t>شاهین بندر</t>
  </si>
  <si>
    <t>الماس ساحلی</t>
  </si>
  <si>
    <t>سپاهان ساحل</t>
  </si>
  <si>
    <t>پرسپولیس ساحلی</t>
  </si>
  <si>
    <t>بوشهر</t>
  </si>
  <si>
    <t>نوشهر</t>
  </si>
  <si>
    <t>کیش</t>
  </si>
  <si>
    <t>بندرعباس</t>
  </si>
  <si>
    <t>چابهار</t>
  </si>
  <si>
    <t>دبی</t>
  </si>
  <si>
    <t>دوحه</t>
  </si>
  <si>
    <t>مسقط</t>
  </si>
  <si>
    <t>بندرترکمن</t>
  </si>
  <si>
    <t>عمان</t>
  </si>
  <si>
    <t>قطر</t>
  </si>
  <si>
    <t>امارات</t>
  </si>
  <si>
    <t>مازندران</t>
  </si>
  <si>
    <t>هرمزگان</t>
  </si>
  <si>
    <t>سیستان و بلوچستان</t>
  </si>
  <si>
    <t>گلستان</t>
  </si>
  <si>
    <t>۱۴۰۳/۰۱/۱۵</t>
  </si>
  <si>
    <t>بله</t>
  </si>
  <si>
    <t>۱۴۰۲/۰۶/۰۱</t>
  </si>
  <si>
    <t>۱۴۰۴/۰۵/۳۱</t>
  </si>
  <si>
    <t>خیر</t>
  </si>
  <si>
    <t>۱۴۰۳/۰۳/۱۰</t>
  </si>
  <si>
    <t>۱۴۰۴/۰۳/۰۹</t>
  </si>
  <si>
    <t>۱۴۰۲/۱۰/۲۰</t>
  </si>
  <si>
    <t>۱۴۰۴/۱۰/۱۹</t>
  </si>
  <si>
    <t>P005</t>
  </si>
  <si>
    <t>۱۴۰۳/۰۵/۰۵</t>
  </si>
  <si>
    <t>۱۴۰۵/۰۵/۰۴</t>
  </si>
  <si>
    <t>P006</t>
  </si>
  <si>
    <t>۱۴۰۱/۰۸/۱۲</t>
  </si>
  <si>
    <t>۱۴۰۳/۰۸/۱۱</t>
  </si>
  <si>
    <t>P007</t>
  </si>
  <si>
    <t>۱۴۰۳/۰۲/۲۵</t>
  </si>
  <si>
    <t>۱۴۰۴/۰۲/۲۴</t>
  </si>
  <si>
    <t>P008</t>
  </si>
  <si>
    <t>۱۴۰۳/۰۷/۰۱</t>
  </si>
  <si>
    <t>P009</t>
  </si>
  <si>
    <t>۱۴۰۲/۰۹/۱۵</t>
  </si>
  <si>
    <t>P010</t>
  </si>
  <si>
    <t>۱۴۰۳/۰۴/۰۱</t>
  </si>
  <si>
    <t>P011</t>
  </si>
  <si>
    <t>P012</t>
  </si>
  <si>
    <t>1404/01/01</t>
  </si>
  <si>
    <t xml:space="preserve">نام </t>
  </si>
  <si>
    <t xml:space="preserve">نام خانوادگی </t>
  </si>
  <si>
    <t xml:space="preserve">تاریخ تولد </t>
  </si>
  <si>
    <t xml:space="preserve">قد </t>
  </si>
  <si>
    <t xml:space="preserve">وزن </t>
  </si>
  <si>
    <t xml:space="preserve">پای تخصصی </t>
  </si>
  <si>
    <t xml:space="preserve">شماره تماس </t>
  </si>
  <si>
    <t>شماره موبایل</t>
  </si>
  <si>
    <t>شماره تماس اضطراری</t>
  </si>
  <si>
    <t>نام تماس اضطراری</t>
  </si>
  <si>
    <t>آدرس</t>
  </si>
  <si>
    <t>کد پستی</t>
  </si>
  <si>
    <t>محمدرضا رضاییان</t>
  </si>
  <si>
    <t>پدر</t>
  </si>
  <si>
    <t>بلوار میرمحمد، خیابان بهار، پلاک ۱۲، طبقه ۲</t>
  </si>
  <si>
    <t>زهرا محمدپور</t>
  </si>
  <si>
    <t>مادر</t>
  </si>
  <si>
    <t>خیابان انقلاب، کوچه ششم، پلاک ۵، مجتمع موج</t>
  </si>
  <si>
    <t>سارا کریمی</t>
  </si>
  <si>
    <t>همسر</t>
  </si>
  <si>
    <t>خیابان ولیعصر، مجتمع پارس جنوبی، واحد ۳۰۳</t>
  </si>
  <si>
    <t>رضا موسوی</t>
  </si>
  <si>
    <t>برادر</t>
  </si>
  <si>
    <t>بلوار کشاورز، خیابان نهم، پلاک ۲۲</t>
  </si>
  <si>
    <t>شیراز</t>
  </si>
  <si>
    <t>فاطمه احمدی</t>
  </si>
  <si>
    <t>خواهر</t>
  </si>
  <si>
    <t>خیابان دکتر حسابی، کوچه ۱۴، پلاک ۸</t>
  </si>
  <si>
    <t>علی نوری</t>
  </si>
  <si>
    <t>خیابان ساحلی، جنب پارک دریا، پلاک ۴۵</t>
  </si>
  <si>
    <t>مینا طاهری</t>
  </si>
  <si>
    <t>بلوار فردوسی، خیابان شریعتی، پلاک ۷، طبقه اول</t>
  </si>
  <si>
    <t>مشهد</t>
  </si>
  <si>
    <t>نرگس صادقی</t>
  </si>
  <si>
    <t>خیابان مطهری، نبش کوچه ۲۲، پلاک ۱۰</t>
  </si>
  <si>
    <t>تبریز</t>
  </si>
  <si>
    <t>حسن عابدی</t>
  </si>
  <si>
    <t>کیلومتر ۵ جاده ساحلی، مجتمع موج‌های آبی، پلاک ۳</t>
  </si>
  <si>
    <t>فریده قربانی</t>
  </si>
  <si>
    <t>خیابان امام خمینی، خیابان آزادگان، پلاک ۶</t>
  </si>
  <si>
    <t>اهواز</t>
  </si>
  <si>
    <t>0912345678</t>
  </si>
  <si>
    <t>0936789012</t>
  </si>
  <si>
    <t>0902233445</t>
  </si>
  <si>
    <t>0939876543</t>
  </si>
  <si>
    <t>0903827465</t>
  </si>
  <si>
    <t>0933123456</t>
  </si>
  <si>
    <t>0905678901</t>
  </si>
  <si>
    <t>0937654321</t>
  </si>
  <si>
    <t>0904567890</t>
  </si>
  <si>
    <t>0939281746</t>
  </si>
  <si>
    <t>09132233445</t>
  </si>
  <si>
    <t>09021112223</t>
  </si>
  <si>
    <t>09355443321</t>
  </si>
  <si>
    <t>09177889901</t>
  </si>
  <si>
    <t>09301548672</t>
  </si>
  <si>
    <t>09055443210</t>
  </si>
  <si>
    <t>09124567890</t>
  </si>
  <si>
    <t>09036547893</t>
  </si>
  <si>
    <t>09362143785</t>
  </si>
  <si>
    <t>09134987654</t>
  </si>
  <si>
    <t>اطلاعات فردی</t>
  </si>
  <si>
    <t>عکس اصلی</t>
  </si>
  <si>
    <t>عکس پاسپورت</t>
  </si>
  <si>
    <t>1405/05/19</t>
  </si>
  <si>
    <t>از تاریخ</t>
  </si>
  <si>
    <t>تا تاریخ</t>
  </si>
  <si>
    <t>راه حل: برای دسترسی به یک Name با Scope سراسری، از روش استاندارد زیر استفاده کنید که مستقل از شیت فعال هستش:</t>
  </si>
  <si>
    <t>سوابق باشگاهی</t>
  </si>
  <si>
    <t>مشخصات فنی و ورزشی</t>
  </si>
  <si>
    <t>عنوان</t>
  </si>
  <si>
    <t>مقدار</t>
  </si>
  <si>
    <t>پست فرعی</t>
  </si>
  <si>
    <t>سطح آمادگی</t>
  </si>
  <si>
    <t>ویژگی فنی</t>
  </si>
  <si>
    <t>ویژگی بدنی</t>
  </si>
  <si>
    <t>F010</t>
  </si>
  <si>
    <t>1405/03/15</t>
  </si>
  <si>
    <t xml:space="preserve">آخرین وزن </t>
  </si>
  <si>
    <t xml:space="preserve">درصد چربی </t>
  </si>
  <si>
    <t xml:space="preserve">آخرین YoYo </t>
  </si>
  <si>
    <t xml:space="preserve">آخرین سرعت ۱۰ متر </t>
  </si>
  <si>
    <t xml:space="preserve">آخرین تست </t>
  </si>
  <si>
    <t xml:space="preserve">کنترل توپ </t>
  </si>
  <si>
    <t xml:space="preserve">پاس </t>
  </si>
  <si>
    <t xml:space="preserve">شوت </t>
  </si>
  <si>
    <t xml:space="preserve">تصمیم گیری </t>
  </si>
  <si>
    <t xml:space="preserve">قیچی </t>
  </si>
  <si>
    <t xml:space="preserve">درک تاکتیکی </t>
  </si>
  <si>
    <t xml:space="preserve">آخرین ارزیابی </t>
  </si>
  <si>
    <t>BMI</t>
  </si>
  <si>
    <t xml:space="preserve">آمار ملی </t>
  </si>
  <si>
    <t xml:space="preserve">بازی ملی </t>
  </si>
  <si>
    <t xml:space="preserve">گل </t>
  </si>
  <si>
    <t xml:space="preserve">پاس گل </t>
  </si>
  <si>
    <t xml:space="preserve">دقایق بازی </t>
  </si>
  <si>
    <t xml:space="preserve">کارت زرد </t>
  </si>
  <si>
    <t xml:space="preserve">کارت قرمز </t>
  </si>
  <si>
    <t xml:space="preserve">میانگین امتیاز </t>
  </si>
  <si>
    <t>اطلاعات فنی</t>
  </si>
  <si>
    <t xml:space="preserve">آخرین اردو </t>
  </si>
  <si>
    <t xml:space="preserve">محل اردو </t>
  </si>
  <si>
    <t xml:space="preserve">تاریخ </t>
  </si>
  <si>
    <t xml:space="preserve">وضعیت حضور </t>
  </si>
  <si>
    <t>ش.پیراهن</t>
  </si>
  <si>
    <t>مهدی کریمی | 3876543210</t>
  </si>
  <si>
    <t>IF($E$6="";SelectedPlayerID;IFERROR(XLOOKUP($E$6;PlayerTbl[نام]&amp;" "&amp;PlayerTbl[نام خانوادگی]&amp;" | "&amp;PlayerTbl[کد ملی];PlayerTbl[کد ملی]);""))</t>
  </si>
  <si>
    <t>تاریخ دعوت</t>
  </si>
  <si>
    <t>D001</t>
  </si>
  <si>
    <t>CAMP-101</t>
  </si>
  <si>
    <t>۱۴۰۵/۰۱/۱۰</t>
  </si>
  <si>
    <t>حاضر</t>
  </si>
  <si>
    <t>۱۴۰۵/۰۱/۱۵</t>
  </si>
  <si>
    <t>۱۴۰۵/۰۱/۲۵</t>
  </si>
  <si>
    <t>-</t>
  </si>
  <si>
    <t>D002</t>
  </si>
  <si>
    <t>۱۴۰۵/۰۱/۲۲</t>
  </si>
  <si>
    <t>D003</t>
  </si>
  <si>
    <t>۱۴۰۵/۰۱/۱۲</t>
  </si>
  <si>
    <t>غایب</t>
  </si>
  <si>
    <t>مصدومیت از ناحیه همسترینگ</t>
  </si>
  <si>
    <t>D004</t>
  </si>
  <si>
    <t>D005</t>
  </si>
  <si>
    <t>تعهد باشگاهی (لیگ برتر)</t>
  </si>
  <si>
    <t>D006</t>
  </si>
  <si>
    <t>CAMP-102</t>
  </si>
  <si>
    <t>۱۴۰۵/۰۳/۰۵</t>
  </si>
  <si>
    <t>۱۴۰۵/۰۳/۱۰</t>
  </si>
  <si>
    <t>۱۴۰۵/۰۳/۲۰</t>
  </si>
  <si>
    <t>D007</t>
  </si>
  <si>
    <t>۱۴۰۵/۰۳/۱۲</t>
  </si>
  <si>
    <t>D008</t>
  </si>
  <si>
    <t>۱۴۰۵/۰۳/۰۷</t>
  </si>
  <si>
    <t>بیماری (آنفلوآنزا)</t>
  </si>
  <si>
    <t>D009</t>
  </si>
  <si>
    <t>۱۴۰۵/۰۳/۱۸</t>
  </si>
  <si>
    <t>D010</t>
  </si>
  <si>
    <t>D011</t>
  </si>
  <si>
    <t>CAMP-103</t>
  </si>
  <si>
    <t>۱۴۰۵/۰۵/۰۱</t>
  </si>
  <si>
    <t>۱۴۰۵/۰۵/۰۵</t>
  </si>
  <si>
    <t>۱۴۰۵/۰۵/۱۵</t>
  </si>
  <si>
    <t>D012</t>
  </si>
  <si>
    <t>۱۴۰۵/۰۵/۱۲</t>
  </si>
  <si>
    <t>D013</t>
  </si>
  <si>
    <t>۱۴۰۵/۰۵/۰۳</t>
  </si>
  <si>
    <t>مصدومیت مچ پا</t>
  </si>
  <si>
    <t>D014</t>
  </si>
  <si>
    <t>D015</t>
  </si>
  <si>
    <t>عدم هماهنگی با باشگاه</t>
  </si>
  <si>
    <t>اردوی آماده‌سازی جام جهانی ۲۰۲۶</t>
  </si>
  <si>
    <t>هتل داریوش، سالن کنفرانس خلیج فارس</t>
  </si>
  <si>
    <t>آماده‌سازی</t>
  </si>
  <si>
    <t>اردوی اولیه برای ارزیابی آمادگی جسمانی و تاکتیکی بازیکنان</t>
  </si>
  <si>
    <t>برنامه_اردو_CAMP101.pdf، لیست_اتاق‌ها_CAMP101.xlsx، نامه_دعوت_CAMP101.docx</t>
  </si>
  <si>
    <t>اردوی تدارکاتی پیش از مسابقات آسیایی</t>
  </si>
  <si>
    <t>کمپ ورزشی الشعب، زمین شماره ۲</t>
  </si>
  <si>
    <t>اردوی خارجی برای هماهنگی با تیم‌های اماراتی و قطری</t>
  </si>
  <si>
    <t>برنامه_اردو_CAMP102.pdf، لیست_اتاق‌ها_CAMP102.xlsx، برنامه_بازیهای_تدارکاتی.pdf</t>
  </si>
  <si>
    <t>اردوی نهایی انتخابی تیم ملی</t>
  </si>
  <si>
    <t>مجموعه ورزشی ساحلی بوشهر، زمین اصلی</t>
  </si>
  <si>
    <t>اردوی نهایی برای انتخاب ترکیب اصلی تیم ملی برای مسابقات رسمی</t>
  </si>
  <si>
    <t>برنامه_اردو_CAMP103.pdf، لیست_اتاق‌ها_CAMP103.xlsx، نامه_های_اداری.zip</t>
  </si>
  <si>
    <t>CAMP-104</t>
  </si>
  <si>
    <t>اردوی ریکاوری و بازیابی پس از مسابقات</t>
  </si>
  <si>
    <t>۱۴۰۵/۰۷/۱۰</t>
  </si>
  <si>
    <t>۱۴۰۵/۰۷/۲۰</t>
  </si>
  <si>
    <t>هتل موج‌های نقره‌ای، سالن فیزیوتراپی</t>
  </si>
  <si>
    <t>ریکاوری</t>
  </si>
  <si>
    <t>اردوی ریکاوری برای بازیکنان مصدوم و خسته پس از پایان فصل</t>
  </si>
  <si>
    <t>برنامه_ریکاوری_CAMP104.pdf، لیست_داروها.xlsx</t>
  </si>
  <si>
    <t>عنوان اردو :</t>
  </si>
  <si>
    <t>شهر :</t>
  </si>
  <si>
    <t>تاریخ شروع :</t>
  </si>
  <si>
    <t>تاریخ پایان :</t>
  </si>
  <si>
    <t>انتخاب بازیکن</t>
  </si>
  <si>
    <t>دعوت شده</t>
  </si>
  <si>
    <t>ذخیره</t>
  </si>
  <si>
    <t>خط خورده</t>
  </si>
  <si>
    <t>انصراف</t>
  </si>
  <si>
    <t>جایگزین شده</t>
  </si>
  <si>
    <t>غیبت موجه</t>
  </si>
  <si>
    <t>غیبت غیرموجه</t>
  </si>
  <si>
    <t>با تاخیر</t>
  </si>
  <si>
    <t>دعوت‌شده</t>
  </si>
  <si>
    <t>D016</t>
  </si>
  <si>
    <t>افزودن بازیکن به اردو :</t>
  </si>
  <si>
    <t>&lt; تفکیک کد  اردو از عنوان</t>
  </si>
  <si>
    <t>لطفاً ابتدا یک بازیکن از جدول اردو انتخاب کنید.</t>
  </si>
  <si>
    <t>رکورد انتخاب‌شده شناسایی نشد.</t>
  </si>
  <si>
    <t>رکورد انتخاب‌شده</t>
  </si>
  <si>
    <t>بازیکن با موفقیت اضافه شد.</t>
  </si>
  <si>
    <t>این بازیکن قبلاً در این اردو ثبت شده است.</t>
  </si>
  <si>
    <t>کد ملی بازیکن پیدا نشد.</t>
  </si>
  <si>
    <t>اردو انتخاب نشده است.</t>
  </si>
  <si>
    <t>بازیکن انتخاب نشده است.</t>
  </si>
  <si>
    <t>تغییرات با موفقیت ذخیره شد.</t>
  </si>
  <si>
    <t>خطا در ذخیره اطلاعات.</t>
  </si>
  <si>
    <t>متن های فارسی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</si>
  <si>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</si>
  <si>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</si>
  <si>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</si>
  <si>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</si>
  <si>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</si>
  <si>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</si>
  <si>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</si>
  <si>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</si>
  <si>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</si>
  <si>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</si>
  <si>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I11</t>
  </si>
  <si>
    <t>I12</t>
  </si>
  <si>
    <t>I13</t>
  </si>
  <si>
    <t>I14</t>
  </si>
  <si>
    <t>I15</t>
  </si>
  <si>
    <t>I16</t>
  </si>
  <si>
    <t>E11</t>
  </si>
  <si>
    <t>E12</t>
  </si>
  <si>
    <t>E13</t>
  </si>
  <si>
    <t>E14</t>
  </si>
  <si>
    <t>E15</t>
  </si>
  <si>
    <t>T12</t>
  </si>
  <si>
    <t>آیا از حذف این بازیکن از اردو اطمینان دارید؟</t>
  </si>
  <si>
    <t>T13</t>
  </si>
  <si>
    <t>بازیکن با موفقیت از اردو حذف شد.</t>
  </si>
  <si>
    <t>CAMP-102 | اردوی تدارکاتی پیش از مسابقات آسیایی</t>
  </si>
  <si>
    <t>علی موسوی | 6189076543</t>
  </si>
  <si>
    <t>1405/04/20</t>
  </si>
  <si>
    <t>1405/04/25</t>
  </si>
  <si>
    <t>کورونا</t>
  </si>
  <si>
    <t>فرنظینه بوده</t>
  </si>
  <si>
    <t>امیرحسین رضاییان | 4420987654</t>
  </si>
  <si>
    <t>عکس این شخص پیدا نشد</t>
  </si>
  <si>
    <t>T14</t>
  </si>
  <si>
    <t>T15</t>
  </si>
  <si>
    <t>T16</t>
  </si>
  <si>
    <t>استعدادیابی</t>
  </si>
  <si>
    <t>هدف اردو</t>
  </si>
  <si>
    <t>ارزیابی</t>
  </si>
  <si>
    <t>مسابقات</t>
  </si>
  <si>
    <t>لطفاً عنوان اردو را وارد کنید.</t>
  </si>
  <si>
    <t>اردو با موفقیت ثبت شد.</t>
  </si>
  <si>
    <t>اردو با موفقیت ویرایش شد.</t>
  </si>
  <si>
    <t>T17</t>
  </si>
  <si>
    <t>اردو پیدا نشد.</t>
  </si>
  <si>
    <t>T18</t>
  </si>
  <si>
    <t>آیا از حذف این اردو اطمینان دارید؟</t>
  </si>
  <si>
    <t>T19</t>
  </si>
  <si>
    <t>اردو با موفقیت حذف شد.</t>
  </si>
  <si>
    <t>T20</t>
  </si>
  <si>
    <t>تاریخ شروع نمی‌تواند بعد از تاریخ پایان باشد.</t>
  </si>
  <si>
    <t>T21</t>
  </si>
  <si>
    <t>T22</t>
  </si>
  <si>
    <t>T23</t>
  </si>
  <si>
    <t>T24</t>
  </si>
  <si>
    <t>T25</t>
  </si>
  <si>
    <t>مدرک تحصیلی</t>
  </si>
  <si>
    <t>پائولو</t>
  </si>
  <si>
    <t>سرجیو داسیلوا</t>
  </si>
  <si>
    <t>۱۳۴۸/۰۳/۱۲</t>
  </si>
  <si>
    <t>UEFA Pro License</t>
  </si>
  <si>
    <t>۱۴۰۵/۱۲/۲۹</t>
  </si>
  <si>
    <t>دکتری تخصصی فیزیولوژی ورزشی</t>
  </si>
  <si>
    <t>مربی برزیلی با سابقه قهرمانی در جام جهانی ساحلی ۲۰۱۹</t>
  </si>
  <si>
    <t>خوان</t>
  </si>
  <si>
    <t>کارلوس مارتینز</t>
  </si>
  <si>
    <t>۱۳۵۰/۰۸/۲۵</t>
  </si>
  <si>
    <t>۱۴۰۶/۰۱/۱۴</t>
  </si>
  <si>
    <t>کارشناسی ارشد مربیگری فوتبال</t>
  </si>
  <si>
    <t>مربی اسپانیایی، متخصص تاکتیک‌های ساحلی</t>
  </si>
  <si>
    <t>وحید</t>
  </si>
  <si>
    <t>شمسایی</t>
  </si>
  <si>
    <t>۱۳۵۴/۱۱/۰۵</t>
  </si>
  <si>
    <t>AFC A License</t>
  </si>
  <si>
    <t>۱۴۰۴/۰۲/۱۰</t>
  </si>
  <si>
    <t>۱۴۰۷/۰۲/۰۹</t>
  </si>
  <si>
    <t>کارشناسی ارشد تربیت بدنی</t>
  </si>
  <si>
    <t>سرمربی اسبق تیم ملی فوتبال ساحلی ایران</t>
  </si>
  <si>
    <t>احمد</t>
  </si>
  <si>
    <t>رضازاده</t>
  </si>
  <si>
    <t>۱۳۵۷/۰۴/۱۸</t>
  </si>
  <si>
    <t>مدرک تخصصی بدنسازی (NSCA)</t>
  </si>
  <si>
    <t>۱۴۰۳/۰۹/۰۱</t>
  </si>
  <si>
    <t>۱۴۰۵/۰۸/۳۰</t>
  </si>
  <si>
    <t>مومنی</t>
  </si>
  <si>
    <t>۱۳۶۲/۱۲/۰۹</t>
  </si>
  <si>
    <t>مدرک آنالیز عملکرد (FIFA)</t>
  </si>
  <si>
    <t>۱۴۰۴/۰۱/۲۰</t>
  </si>
  <si>
    <t>۱۴۰۶/۰۱/۱۹</t>
  </si>
  <si>
    <t>کارشناسی ارشد مهندسی ورزش</t>
  </si>
  <si>
    <t>فرزاد</t>
  </si>
  <si>
    <t>هاشمی</t>
  </si>
  <si>
    <t>۱۳۵۹/۰۶/۲۲</t>
  </si>
  <si>
    <t>پزشک تیم</t>
  </si>
  <si>
    <t>۱۴۰۵/۰۳/۰۹</t>
  </si>
  <si>
    <t>دکترای پزشکی عمومی</t>
  </si>
  <si>
    <t>پزشک ورزشی با مدرک Advanced Trauma Life Support</t>
  </si>
  <si>
    <t>۱۳۶۵/۱۱/۱۴</t>
  </si>
  <si>
    <t>فیزیوتراپ</t>
  </si>
  <si>
    <t>۱۴۰۴/۰۵/۰۵</t>
  </si>
  <si>
    <t>۱۴۰۶/۰۵/۰۴</t>
  </si>
  <si>
    <t>کارشناسی فیزیوتراپی</t>
  </si>
  <si>
    <t>متخصص توانبخشی مصدومیت‌های ورزشی</t>
  </si>
  <si>
    <t>بدنساز تیم‌های ملی از سال ۱۳۹۸</t>
  </si>
  <si>
    <t>آنالیزور حرفه‌ای با نرم‌افزارهای Dartfish</t>
  </si>
  <si>
    <t>محمدرضا</t>
  </si>
  <si>
    <t>حیدری</t>
  </si>
  <si>
    <t>۱۳۶۸/۰۹/۲۱</t>
  </si>
  <si>
    <t>۱۴۰۳/۰۲/۰۱</t>
  </si>
  <si>
    <t>۱۴۰۵/۰۱/۳۱</t>
  </si>
  <si>
    <t>کارشناسی مدیریت ورزشی</t>
  </si>
  <si>
    <t>مسئول هماهنگی‌های اداری و لجستیک اردوها</t>
  </si>
  <si>
    <t>ناصر</t>
  </si>
  <si>
    <t>ابراهیمی</t>
  </si>
  <si>
    <t>۱۳۵۲/۰۵/۱۰</t>
  </si>
  <si>
    <t>سرمربی تیم ملی امید</t>
  </si>
  <si>
    <t>۱۴۰۴/۰۷/۰۱</t>
  </si>
  <si>
    <t>۱۴۰۶/۰۶/۳۰</t>
  </si>
  <si>
    <t>کارشناسی ارشد مربیگری</t>
  </si>
  <si>
    <t>مسئول هدایت تیم ملی امید در مسابقات آسیایی و کشف استعدادهای جوان</t>
  </si>
  <si>
    <t>مصطفی</t>
  </si>
  <si>
    <t>عرب</t>
  </si>
  <si>
    <t>۱۳۶۰/۰۹/۱۵</t>
  </si>
  <si>
    <t>کمک مربی اول</t>
  </si>
  <si>
    <t>مدرک سطح A آسیا</t>
  </si>
  <si>
    <t>۱۴۰۴/۰۵/۱۵</t>
  </si>
  <si>
    <t>۱۴۰۶/۰۵/۱۴</t>
  </si>
  <si>
    <t>کارشناسی تربیت بدنی</t>
  </si>
  <si>
    <t>کمک مربی تاکتیکی و هماهنگ‌کننده تمرینات روزانه، متخصص آنالیز حریف</t>
  </si>
  <si>
    <t>فتاحی</t>
  </si>
  <si>
    <t>۱۳۶۵/۱۲/۲۰</t>
  </si>
  <si>
    <t>مربی دروازه‌بان‌ها</t>
  </si>
  <si>
    <t>مدرک تخصصی دروازه‌بانی (FIFA)</t>
  </si>
  <si>
    <t>۱۴۰۳/۱۲/۰۱</t>
  </si>
  <si>
    <t>۱۴۰۵/۱۱/۳۰</t>
  </si>
  <si>
    <t>کارشناسی فیزیولوژی</t>
  </si>
  <si>
    <t>متخصص تمرینات اختصاصی دروازه‌بان‌ها در شرایط ساحلی (شن و تابش نور خورشید)</t>
  </si>
  <si>
    <t>مجیدی</t>
  </si>
  <si>
    <t>۱۳۷۰/۰۲/۰۸</t>
  </si>
  <si>
    <t>مربی بدنساز (قدرتی)</t>
  </si>
  <si>
    <t>NSCA Certified</t>
  </si>
  <si>
    <t>۱۴۰۴/۰۸/۱۵</t>
  </si>
  <si>
    <t>۱۴۰۶/۰۸/۱۴</t>
  </si>
  <si>
    <t>دکتری فیزیولوژی ورزشی</t>
  </si>
  <si>
    <t>طراح برنامه‌های قدرتی، پلایومتریک و پیشگیری از مصدومیت در بستر شن</t>
  </si>
  <si>
    <t>محمدی</t>
  </si>
  <si>
    <t>۱۳۵۸/۱۱/۰۲</t>
  </si>
  <si>
    <t>مدیر فنی</t>
  </si>
  <si>
    <t>۱۴۰۶/۰۳/۳۱</t>
  </si>
  <si>
    <t>دکتری مدیریت ورزشی</t>
  </si>
  <si>
    <t>نظارت بر فرآیند توسعه بلندمدت تیم، استعدادیابی و هماهنگی با فدراسیون</t>
  </si>
  <si>
    <t>0042876543</t>
  </si>
  <si>
    <t>2983476510</t>
  </si>
  <si>
    <t>5123876498</t>
  </si>
  <si>
    <t>7189045632</t>
  </si>
  <si>
    <t>8923456710</t>
  </si>
  <si>
    <t>6732190548</t>
  </si>
  <si>
    <t>3456789012</t>
  </si>
  <si>
    <t>5678901234</t>
  </si>
  <si>
    <t>1234567890</t>
  </si>
  <si>
    <t>2345678901</t>
  </si>
  <si>
    <t>4567890123</t>
  </si>
  <si>
    <t>این اردو دارای بازیکن ثبت‌شده است و امکان حذف آن وجود ندارد.</t>
  </si>
  <si>
    <t>T26</t>
  </si>
  <si>
    <t>T27</t>
  </si>
  <si>
    <t>هدف اردو :</t>
  </si>
  <si>
    <t>نوع اردو :</t>
  </si>
  <si>
    <t>سرمربی :</t>
  </si>
  <si>
    <t>کشور :</t>
  </si>
  <si>
    <t>مسئول اردو :</t>
  </si>
  <si>
    <t>محل اردو :</t>
  </si>
  <si>
    <t>توضیحات :</t>
  </si>
  <si>
    <t>نسبت</t>
  </si>
  <si>
    <t>گروهبندی</t>
  </si>
  <si>
    <t>بازیکن</t>
  </si>
  <si>
    <t>5678901534</t>
  </si>
  <si>
    <t>درصد چربی</t>
  </si>
  <si>
    <t>قدرت مرکزی بدن</t>
  </si>
  <si>
    <t>لیست اردوهای بازیکن</t>
  </si>
  <si>
    <t>T28</t>
  </si>
  <si>
    <t>T29</t>
  </si>
  <si>
    <t>براي اين بازيکن در اين اردو و اين تاريخ، رکورد تست وجود دارد</t>
  </si>
  <si>
    <t>آيا اطلاعات قبلي با اطلاعات جديد جايگزين شود؟</t>
  </si>
  <si>
    <t>T30</t>
  </si>
  <si>
    <t>T31</t>
  </si>
  <si>
    <t>T32</t>
  </si>
  <si>
    <t>لطفاً ابتدا يک بازيکن انتخاب کنيد</t>
  </si>
  <si>
    <t>1405/06/01</t>
  </si>
  <si>
    <t>F011</t>
  </si>
  <si>
    <t>تاريخ ارزیابی وارد نشده است</t>
  </si>
  <si>
    <t>رکورد ارزیابی با موفقيت ويرايش شد</t>
  </si>
  <si>
    <t>رکورد ارزیابی با موفقيت ثبت شد</t>
  </si>
  <si>
    <t>ابتدا بازيکن، اردو و تاريخ تست را مشخص کنيد.</t>
  </si>
  <si>
    <t>T33</t>
  </si>
  <si>
    <t>T34</t>
  </si>
  <si>
    <t>T35</t>
  </si>
  <si>
    <t>T36</t>
  </si>
  <si>
    <t>T37</t>
  </si>
  <si>
    <t>آيا از حذف اين رکورد ارزیابی اطمينان داريد؟</t>
  </si>
  <si>
    <t>حذف ارزیابی</t>
  </si>
  <si>
    <t>رکورد ارزیابی با موفقيت حذف شد</t>
  </si>
  <si>
    <t>رکورد مورد نظر پیدا نشد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</si>
</sst>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[$-160429]dd/mm/yyyy;@"/>
    <numFmt numFmtId="165" formatCode="[$-160429]yyyy/mm/dd;@"/>
    <numFmt numFmtId="166" formatCode="[$-3000401]0"/>
    <numFmt numFmtId="167" formatCode="0.0"/>
    <numFmt numFmtId="168" formatCode="0.0%"/>
    <numFmt numFmtId="169" formatCode="0&quot; cm&quot;"/>
    <numFmt numFmtId="171" formatCode="0.0&quot; %&quot;"/>
    <numFmt numFmtId="175" formatCode="0.00&quot;  sec&quot;"/>
    <numFmt numFmtId="176" formatCode="0&quot;  cm&quot;"/>
    <numFmt numFmtId="177" formatCode="0.0&quot;  kg&quot;"/>
    <numFmt numFmtId="178" formatCode="0&quot;  bpm&quot;"/>
    <numFmt numFmtId="179" formatCode=";;;"/>
  </numFmts>
  <fonts count="25">
    <font>
      <sz val="12"/>
      <color theme="1"/>
      <name val="Calibri"/>
      <family val="2"/>
      <charset val="178"/>
    </font>
    <font>
      <b/>
      <sz val="12"/>
      <color theme="1"/>
      <name val="Calibri"/>
      <family val="2"/>
      <charset val="178"/>
    </font>
    <font>
      <sz val="8"/>
      <name val="Calibri"/>
      <family val="2"/>
      <charset val="178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  <font>
      <sz val="12"/>
      <color theme="1"/>
      <name val="Vazirmatn"/>
    </font>
    <font>
      <sz val="10"/>
      <color theme="1"/>
      <name val="Vazirmatn"/>
    </font>
    <font>
      <b/>
      <sz val="10"/>
      <color theme="1"/>
      <name val="Vazirmatn"/>
    </font>
    <font>
      <b/>
      <sz val="12"/>
      <color theme="0"/>
      <name val="Calibri"/>
      <family val="2"/>
      <charset val="178"/>
    </font>
    <font>
      <sz val="11"/>
      <color theme="1"/>
      <name val="Vazirmatn"/>
    </font>
    <font>
      <sz val="10"/>
      <color theme="1"/>
      <name val="Vazir Black FD"/>
      <family val="2"/>
    </font>
    <font>
      <b/>
      <sz val="11"/>
      <color theme="0"/>
      <name val="Vazirmatn"/>
    </font>
    <font>
      <sz val="10"/>
      <color theme="1"/>
      <name val="Vazirmatn FD"/>
    </font>
    <font>
      <sz val="10"/>
      <color theme="1"/>
      <name val="Arial Unicode MS"/>
    </font>
    <font>
      <sz val="12"/>
      <color theme="1"/>
      <name val="Vazirmatn FD"/>
    </font>
    <font>
      <b/>
      <sz val="10"/>
      <color theme="1"/>
      <name val="Vazirmatn FD"/>
    </font>
    <font>
      <b/>
      <sz val="10"/>
      <color theme="1"/>
      <name val="Vazir FD"/>
      <family val="2"/>
    </font>
    <font>
      <b/>
      <sz val="10"/>
      <color rgb="FF000000"/>
      <name val="Vazirmatn FD"/>
    </font>
    <font>
      <i/>
      <sz val="10"/>
      <color theme="0" tint="-0.499984740745262"/>
      <name val="Vazirmatn FD"/>
    </font>
    <font>
      <sz val="10"/>
      <color rgb="FF000000"/>
      <name val="Vazirmatn FD"/>
    </font>
    <font>
      <b/>
      <sz val="11"/>
      <color theme="1"/>
      <name val="Vazir Black FD"/>
      <family val="2"/>
    </font>
    <font>
      <b/>
      <sz val="10"/>
      <color theme="1"/>
      <name val="Vazir Black FD"/>
      <family val="2"/>
    </font>
    <font>
      <sz val="9"/>
      <color theme="1"/>
      <name val="Vazirmatn FD"/>
    </font>
    <font>
      <sz val="8"/>
      <color theme="1"/>
      <name val="Vazirmatn FD"/>
    </font>
    <font>
      <sz val="11"/>
      <color theme="1"/>
      <name val="Arial Unicode MS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readingOrder="2"/>
    </xf>
    <xf numFmtId="0" fontId="0" fillId="2" borderId="0" xfId="0" applyFill="1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1" fillId="0" borderId="0" xfId="0" applyFont="1" applyAlignment="1">
      <alignment horizontal="center" vertical="center" wrapText="1" readingOrder="2"/>
    </xf>
    <xf numFmtId="0" fontId="0" fillId="8" borderId="0" xfId="0" applyFill="1"/>
    <xf numFmtId="0" fontId="5" fillId="8" borderId="0" xfId="0" applyFont="1" applyFill="1"/>
    <xf numFmtId="0" fontId="6" fillId="8" borderId="0" xfId="0" applyFont="1" applyFill="1"/>
    <xf numFmtId="0" fontId="6" fillId="8" borderId="0" xfId="0" applyFont="1" applyFill="1" applyAlignment="1">
      <alignment horizontal="center"/>
    </xf>
    <xf numFmtId="0" fontId="6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Continuous"/>
    </xf>
    <xf numFmtId="0" fontId="6" fillId="8" borderId="11" xfId="0" applyFont="1" applyFill="1" applyBorder="1"/>
    <xf numFmtId="0" fontId="6" fillId="8" borderId="11" xfId="0" applyFont="1" applyFill="1" applyBorder="1" applyAlignment="1">
      <alignment horizontal="center" vertical="center"/>
    </xf>
    <xf numFmtId="0" fontId="5" fillId="8" borderId="11" xfId="0" applyFont="1" applyFill="1" applyBorder="1"/>
    <xf numFmtId="0" fontId="7" fillId="8" borderId="2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6" fillId="8" borderId="3" xfId="0" applyFont="1" applyFill="1" applyBorder="1" applyAlignment="1">
      <alignment horizontal="center" vertical="center" readingOrder="2"/>
    </xf>
    <xf numFmtId="0" fontId="7" fillId="8" borderId="0" xfId="0" applyFont="1" applyFill="1" applyAlignment="1">
      <alignment readingOrder="2"/>
    </xf>
    <xf numFmtId="0" fontId="6" fillId="8" borderId="3" xfId="0" applyFont="1" applyFill="1" applyBorder="1" applyAlignment="1">
      <alignment horizontal="center" readingOrder="2"/>
    </xf>
    <xf numFmtId="0" fontId="6" fillId="8" borderId="12" xfId="0" applyFont="1" applyFill="1" applyBorder="1" applyAlignment="1">
      <alignment horizontal="center" vertical="center"/>
    </xf>
    <xf numFmtId="0" fontId="6" fillId="8" borderId="13" xfId="0" applyFont="1" applyFill="1" applyBorder="1"/>
    <xf numFmtId="0" fontId="5" fillId="8" borderId="13" xfId="0" applyFont="1" applyFill="1" applyBorder="1"/>
    <xf numFmtId="0" fontId="6" fillId="8" borderId="1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 readingOrder="2"/>
    </xf>
    <xf numFmtId="0" fontId="6" fillId="8" borderId="5" xfId="0" applyFont="1" applyFill="1" applyBorder="1" applyAlignment="1">
      <alignment horizontal="center" vertical="center" readingOrder="2"/>
    </xf>
    <xf numFmtId="0" fontId="6" fillId="8" borderId="6" xfId="0" applyFont="1" applyFill="1" applyBorder="1" applyAlignment="1">
      <alignment horizontal="center" vertical="center" readingOrder="2"/>
    </xf>
    <xf numFmtId="0" fontId="6" fillId="8" borderId="7" xfId="0" applyFont="1" applyFill="1" applyBorder="1" applyAlignment="1">
      <alignment horizontal="center" vertical="center" readingOrder="2"/>
    </xf>
    <xf numFmtId="0" fontId="6" fillId="8" borderId="8" xfId="0" applyFont="1" applyFill="1" applyBorder="1" applyAlignment="1">
      <alignment horizontal="center" vertical="center" readingOrder="2"/>
    </xf>
    <xf numFmtId="0" fontId="6" fillId="8" borderId="9" xfId="0" applyFont="1" applyFill="1" applyBorder="1" applyAlignment="1">
      <alignment horizontal="center" vertical="center" readingOrder="2"/>
    </xf>
    <xf numFmtId="0" fontId="6" fillId="8" borderId="10" xfId="0" applyFont="1" applyFill="1" applyBorder="1" applyAlignment="1">
      <alignment horizontal="center" vertical="center" readingOrder="2"/>
    </xf>
    <xf numFmtId="164" fontId="5" fillId="8" borderId="0" xfId="0" applyNumberFormat="1" applyFont="1" applyFill="1"/>
    <xf numFmtId="165" fontId="5" fillId="8" borderId="0" xfId="0" applyNumberFormat="1" applyFont="1" applyFill="1"/>
    <xf numFmtId="0" fontId="5" fillId="8" borderId="14" xfId="0" applyFont="1" applyFill="1" applyBorder="1"/>
    <xf numFmtId="0" fontId="0" fillId="0" borderId="0" xfId="0" applyAlignment="1">
      <alignment vertical="center"/>
    </xf>
    <xf numFmtId="0" fontId="8" fillId="9" borderId="21" xfId="0" applyFont="1" applyFill="1" applyBorder="1" applyAlignment="1">
      <alignment horizontal="center" vertical="center" readingOrder="2"/>
    </xf>
    <xf numFmtId="168" fontId="0" fillId="0" borderId="0" xfId="0" applyNumberFormat="1" applyAlignment="1">
      <alignment horizontal="center" vertical="center" readingOrder="2"/>
    </xf>
    <xf numFmtId="0" fontId="9" fillId="0" borderId="0" xfId="0" applyFont="1" applyAlignment="1">
      <alignment horizontal="center" vertical="center" readingOrder="2"/>
    </xf>
    <xf numFmtId="0" fontId="0" fillId="8" borderId="0" xfId="0" applyFill="1" applyAlignment="1">
      <alignment horizontal="center" vertical="center"/>
    </xf>
    <xf numFmtId="0" fontId="10" fillId="8" borderId="3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8" fillId="9" borderId="27" xfId="0" applyFont="1" applyFill="1" applyBorder="1" applyAlignment="1">
      <alignment horizontal="center" vertical="center" readingOrder="2"/>
    </xf>
    <xf numFmtId="0" fontId="9" fillId="10" borderId="27" xfId="0" applyFont="1" applyFill="1" applyBorder="1" applyAlignment="1">
      <alignment horizontal="center" vertical="center" readingOrder="2"/>
    </xf>
    <xf numFmtId="0" fontId="9" fillId="0" borderId="27" xfId="0" applyFont="1" applyBorder="1" applyAlignment="1">
      <alignment horizontal="center" vertical="center" readingOrder="2"/>
    </xf>
    <xf numFmtId="0" fontId="9" fillId="10" borderId="26" xfId="0" applyFont="1" applyFill="1" applyBorder="1" applyAlignment="1">
      <alignment horizontal="center" vertical="center" readingOrder="2"/>
    </xf>
    <xf numFmtId="0" fontId="11" fillId="9" borderId="27" xfId="0" applyFont="1" applyFill="1" applyBorder="1" applyAlignment="1">
      <alignment horizontal="center" vertical="center" readingOrder="2"/>
    </xf>
    <xf numFmtId="0" fontId="9" fillId="0" borderId="26" xfId="0" applyFont="1" applyBorder="1" applyAlignment="1">
      <alignment horizontal="center" vertical="center" readingOrder="2"/>
    </xf>
    <xf numFmtId="0" fontId="6" fillId="8" borderId="0" xfId="0" applyFont="1" applyFill="1" applyAlignment="1">
      <alignment horizontal="center" readingOrder="2"/>
    </xf>
    <xf numFmtId="0" fontId="0" fillId="8" borderId="0" xfId="0" applyFill="1" applyAlignment="1">
      <alignment horizontal="center" readingOrder="2"/>
    </xf>
    <xf numFmtId="0" fontId="12" fillId="8" borderId="0" xfId="0" applyFont="1" applyFill="1" applyAlignment="1">
      <alignment horizontal="center" vertical="center" readingOrder="2"/>
    </xf>
    <xf numFmtId="0" fontId="12" fillId="8" borderId="0" xfId="0" applyFont="1" applyFill="1" applyAlignment="1">
      <alignment horizontal="center" readingOrder="2"/>
    </xf>
    <xf numFmtId="0" fontId="12" fillId="8" borderId="0" xfId="0" applyFont="1" applyFill="1" applyAlignment="1">
      <alignment horizontal="right" readingOrder="2"/>
    </xf>
    <xf numFmtId="0" fontId="0" fillId="8" borderId="0" xfId="0" applyFill="1" applyAlignment="1">
      <alignment horizontal="right" readingOrder="2"/>
    </xf>
    <xf numFmtId="0" fontId="0" fillId="8" borderId="0" xfId="0" applyFill="1" applyAlignment="1">
      <alignment horizontal="right" vertical="center" readingOrder="2"/>
    </xf>
    <xf numFmtId="0" fontId="6" fillId="8" borderId="0" xfId="0" applyFont="1" applyFill="1" applyAlignment="1">
      <alignment horizontal="right" readingOrder="2"/>
    </xf>
    <xf numFmtId="0" fontId="0" fillId="8" borderId="0" xfId="0" applyFill="1" applyAlignment="1">
      <alignment readingOrder="2"/>
    </xf>
    <xf numFmtId="0" fontId="0" fillId="8" borderId="3" xfId="0" applyFill="1" applyBorder="1" applyAlignment="1">
      <alignment horizontal="right"/>
    </xf>
    <xf numFmtId="0" fontId="0" fillId="2" borderId="3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readingOrder="2"/>
    </xf>
    <xf numFmtId="0" fontId="14" fillId="8" borderId="0" xfId="0" applyFont="1" applyFill="1"/>
    <xf numFmtId="0" fontId="12" fillId="8" borderId="16" xfId="0" applyFont="1" applyFill="1" applyBorder="1" applyAlignment="1">
      <alignment horizontal="right" vertical="center"/>
    </xf>
    <xf numFmtId="0" fontId="12" fillId="8" borderId="15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5" fillId="8" borderId="23" xfId="0" applyFont="1" applyFill="1" applyBorder="1" applyAlignment="1">
      <alignment horizontal="center" vertical="center"/>
    </xf>
    <xf numFmtId="0" fontId="12" fillId="8" borderId="0" xfId="0" applyFont="1" applyFill="1"/>
    <xf numFmtId="0" fontId="12" fillId="0" borderId="0" xfId="0" applyFont="1" applyAlignment="1">
      <alignment horizontal="center" vertical="center" readingOrder="2"/>
    </xf>
    <xf numFmtId="49" fontId="12" fillId="0" borderId="0" xfId="0" applyNumberFormat="1" applyFont="1" applyAlignment="1">
      <alignment horizontal="center" vertical="center" readingOrder="2"/>
    </xf>
    <xf numFmtId="166" fontId="12" fillId="0" borderId="0" xfId="0" applyNumberFormat="1" applyFont="1" applyAlignment="1">
      <alignment horizontal="center" vertical="center" readingOrder="2"/>
    </xf>
    <xf numFmtId="49" fontId="12" fillId="0" borderId="0" xfId="0" applyNumberFormat="1" applyFont="1" applyAlignment="1">
      <alignment horizontal="center" vertical="center" readingOrder="1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horizontal="center"/>
    </xf>
    <xf numFmtId="166" fontId="12" fillId="0" borderId="0" xfId="0" applyNumberFormat="1" applyFont="1" applyAlignment="1">
      <alignment horizontal="center"/>
    </xf>
    <xf numFmtId="0" fontId="12" fillId="0" borderId="0" xfId="0" applyFont="1"/>
    <xf numFmtId="0" fontId="14" fillId="0" borderId="0" xfId="0" applyFont="1" applyAlignment="1">
      <alignment vertical="center"/>
    </xf>
    <xf numFmtId="0" fontId="14" fillId="8" borderId="14" xfId="0" applyFont="1" applyFill="1" applyBorder="1"/>
    <xf numFmtId="0" fontId="17" fillId="8" borderId="15" xfId="0" applyFont="1" applyFill="1" applyBorder="1" applyAlignment="1">
      <alignment horizontal="right" vertical="center" readingOrder="2"/>
    </xf>
    <xf numFmtId="0" fontId="12" fillId="8" borderId="16" xfId="0" applyFont="1" applyFill="1" applyBorder="1" applyAlignment="1">
      <alignment horizontal="center" vertical="center"/>
    </xf>
    <xf numFmtId="0" fontId="12" fillId="8" borderId="15" xfId="0" applyFont="1" applyFill="1" applyBorder="1" applyAlignment="1">
      <alignment vertical="center"/>
    </xf>
    <xf numFmtId="0" fontId="15" fillId="0" borderId="17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167" fontId="12" fillId="8" borderId="16" xfId="0" applyNumberFormat="1" applyFont="1" applyFill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 readingOrder="2"/>
    </xf>
    <xf numFmtId="0" fontId="12" fillId="8" borderId="24" xfId="0" applyFont="1" applyFill="1" applyBorder="1" applyAlignment="1">
      <alignment vertical="center"/>
    </xf>
    <xf numFmtId="0" fontId="12" fillId="8" borderId="25" xfId="0" applyFont="1" applyFill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7" fillId="8" borderId="0" xfId="0" applyFont="1" applyFill="1" applyAlignment="1">
      <alignment vertical="center" readingOrder="2"/>
    </xf>
    <xf numFmtId="0" fontId="14" fillId="8" borderId="0" xfId="0" applyFont="1" applyFill="1" applyAlignment="1">
      <alignment vertical="center"/>
    </xf>
    <xf numFmtId="0" fontId="14" fillId="8" borderId="12" xfId="0" applyFont="1" applyFill="1" applyBorder="1" applyAlignment="1">
      <alignment horizontal="center" vertical="center"/>
    </xf>
    <xf numFmtId="0" fontId="19" fillId="8" borderId="15" xfId="0" applyFont="1" applyFill="1" applyBorder="1" applyAlignment="1">
      <alignment vertical="center" readingOrder="2"/>
    </xf>
    <xf numFmtId="0" fontId="12" fillId="8" borderId="16" xfId="0" applyFont="1" applyFill="1" applyBorder="1"/>
    <xf numFmtId="0" fontId="14" fillId="8" borderId="16" xfId="0" applyFont="1" applyFill="1" applyBorder="1"/>
    <xf numFmtId="0" fontId="12" fillId="8" borderId="0" xfId="0" applyFont="1" applyFill="1" applyAlignment="1">
      <alignment horizontal="centerContinuous"/>
    </xf>
    <xf numFmtId="0" fontId="20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Continuous" vertical="center"/>
    </xf>
    <xf numFmtId="0" fontId="12" fillId="8" borderId="0" xfId="0" applyFont="1" applyFill="1" applyAlignment="1">
      <alignment horizontal="center" vertical="center"/>
    </xf>
    <xf numFmtId="0" fontId="12" fillId="8" borderId="9" xfId="0" applyFont="1" applyFill="1" applyBorder="1" applyAlignment="1">
      <alignment horizontal="right" vertical="center"/>
    </xf>
    <xf numFmtId="0" fontId="12" fillId="8" borderId="15" xfId="0" applyFont="1" applyFill="1" applyBorder="1" applyAlignment="1">
      <alignment horizontal="right" vertical="center"/>
    </xf>
    <xf numFmtId="0" fontId="16" fillId="8" borderId="0" xfId="0" applyFont="1" applyFill="1" applyAlignment="1">
      <alignment horizontal="center" vertical="center" readingOrder="2"/>
    </xf>
    <xf numFmtId="0" fontId="0" fillId="8" borderId="0" xfId="0" applyFill="1" applyAlignment="1">
      <alignment horizontal="center" readingOrder="2"/>
    </xf>
    <xf numFmtId="0" fontId="12" fillId="8" borderId="25" xfId="0" applyFont="1" applyFill="1" applyBorder="1" applyAlignment="1">
      <alignment horizontal="center"/>
    </xf>
    <xf numFmtId="0" fontId="12" fillId="8" borderId="12" xfId="0" applyFont="1" applyFill="1" applyBorder="1" applyAlignment="1">
      <alignment horizontal="center"/>
    </xf>
    <xf numFmtId="0" fontId="12" fillId="8" borderId="24" xfId="0" applyFont="1" applyFill="1" applyBorder="1" applyAlignment="1">
      <alignment horizontal="center"/>
    </xf>
    <xf numFmtId="0" fontId="15" fillId="8" borderId="23" xfId="0" applyFont="1" applyFill="1" applyBorder="1" applyAlignment="1">
      <alignment horizontal="center" vertical="center"/>
    </xf>
    <xf numFmtId="0" fontId="15" fillId="8" borderId="20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2" fillId="8" borderId="9" xfId="0" applyFont="1" applyFill="1" applyBorder="1" applyAlignment="1">
      <alignment horizontal="right" vertical="center"/>
    </xf>
    <xf numFmtId="0" fontId="22" fillId="8" borderId="15" xfId="0" applyFont="1" applyFill="1" applyBorder="1" applyAlignment="1">
      <alignment horizontal="right" vertical="center"/>
    </xf>
    <xf numFmtId="0" fontId="10" fillId="8" borderId="3" xfId="0" applyFont="1" applyFill="1" applyBorder="1" applyAlignment="1">
      <alignment horizontal="center" vertical="center"/>
    </xf>
    <xf numFmtId="0" fontId="18" fillId="8" borderId="20" xfId="0" applyFont="1" applyFill="1" applyBorder="1" applyAlignment="1">
      <alignment horizontal="right" vertical="center" readingOrder="2"/>
    </xf>
    <xf numFmtId="0" fontId="0" fillId="3" borderId="0" xfId="0" applyFill="1" applyAlignment="1">
      <alignment horizontal="center" vertical="center" readingOrder="2"/>
    </xf>
    <xf numFmtId="0" fontId="0" fillId="4" borderId="0" xfId="0" applyFill="1" applyAlignment="1">
      <alignment horizontal="center" vertical="center" readingOrder="2"/>
    </xf>
    <xf numFmtId="0" fontId="0" fillId="5" borderId="0" xfId="0" applyFill="1" applyAlignment="1">
      <alignment horizontal="center" vertical="center" readingOrder="2"/>
    </xf>
    <xf numFmtId="0" fontId="0" fillId="6" borderId="0" xfId="0" applyFill="1" applyAlignment="1">
      <alignment horizontal="center" vertical="center" readingOrder="2"/>
    </xf>
    <xf numFmtId="0" fontId="4" fillId="2" borderId="0" xfId="0" applyFont="1" applyFill="1" applyAlignment="1">
      <alignment horizontal="center" vertical="center" readingOrder="2"/>
    </xf>
    <xf numFmtId="0" fontId="4" fillId="4" borderId="0" xfId="0" applyFont="1" applyFill="1" applyAlignment="1">
      <alignment horizontal="center" vertical="center" readingOrder="2"/>
    </xf>
    <xf numFmtId="0" fontId="4" fillId="3" borderId="0" xfId="0" applyFont="1" applyFill="1" applyAlignment="1">
      <alignment horizontal="center" vertical="center" readingOrder="2"/>
    </xf>
    <xf numFmtId="0" fontId="4" fillId="6" borderId="0" xfId="0" applyFont="1" applyFill="1" applyAlignment="1">
      <alignment horizontal="center" vertical="center" readingOrder="2"/>
    </xf>
    <xf numFmtId="0" fontId="4" fillId="5" borderId="0" xfId="0" applyFont="1" applyFill="1" applyAlignment="1">
      <alignment horizontal="center" vertical="center" readingOrder="2"/>
    </xf>
    <xf numFmtId="0" fontId="4" fillId="7" borderId="0" xfId="0" applyFont="1" applyFill="1" applyAlignment="1">
      <alignment horizontal="center" vertical="center" readingOrder="2"/>
    </xf>
    <xf numFmtId="0" fontId="23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 readingOrder="2"/>
    </xf>
    <xf numFmtId="0" fontId="9" fillId="11" borderId="0" xfId="0" applyFont="1" applyFill="1" applyAlignment="1">
      <alignment vertical="center" readingOrder="2"/>
    </xf>
    <xf numFmtId="0" fontId="9" fillId="12" borderId="0" xfId="0" applyFont="1" applyFill="1" applyAlignment="1">
      <alignment horizontal="center" vertical="center" readingOrder="2"/>
    </xf>
    <xf numFmtId="0" fontId="0" fillId="12" borderId="0" xfId="0" applyFill="1" applyAlignment="1">
      <alignment vertical="center" wrapText="1"/>
    </xf>
    <xf numFmtId="0" fontId="13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center" vertical="center" readingOrder="2"/>
    </xf>
    <xf numFmtId="0" fontId="9" fillId="13" borderId="0" xfId="0" applyFont="1" applyFill="1" applyAlignment="1">
      <alignment vertical="center" readingOrder="2"/>
    </xf>
    <xf numFmtId="0" fontId="9" fillId="12" borderId="0" xfId="0" applyFont="1" applyFill="1" applyAlignment="1">
      <alignment vertical="center" readingOrder="2"/>
    </xf>
    <xf numFmtId="0" fontId="9" fillId="12" borderId="25" xfId="0" applyFont="1" applyFill="1" applyBorder="1" applyAlignment="1">
      <alignment horizontal="center" vertical="center" readingOrder="2"/>
    </xf>
    <xf numFmtId="0" fontId="9" fillId="12" borderId="24" xfId="0" applyFont="1" applyFill="1" applyBorder="1" applyAlignment="1">
      <alignment vertical="center" readingOrder="2"/>
    </xf>
    <xf numFmtId="0" fontId="9" fillId="12" borderId="23" xfId="0" applyFont="1" applyFill="1" applyBorder="1" applyAlignment="1">
      <alignment horizontal="center" vertical="center" readingOrder="2"/>
    </xf>
    <xf numFmtId="0" fontId="9" fillId="12" borderId="22" xfId="0" applyFont="1" applyFill="1" applyBorder="1" applyAlignment="1">
      <alignment vertical="center" readingOrder="2"/>
    </xf>
    <xf numFmtId="0" fontId="9" fillId="14" borderId="0" xfId="0" applyFont="1" applyFill="1" applyAlignment="1">
      <alignment vertical="center" readingOrder="2"/>
    </xf>
    <xf numFmtId="0" fontId="24" fillId="14" borderId="0" xfId="0" applyFont="1" applyFill="1" applyAlignment="1">
      <alignment horizontal="center" vertical="center" wrapText="1"/>
    </xf>
    <xf numFmtId="0" fontId="0" fillId="0" borderId="0" xfId="0" applyNumberFormat="1" applyAlignment="1">
      <alignment horizontal="center" vertical="center" readingOrder="2"/>
    </xf>
    <xf numFmtId="169" fontId="12" fillId="8" borderId="15" xfId="0" applyNumberFormat="1" applyFont="1" applyFill="1" applyBorder="1" applyAlignment="1">
      <alignment horizontal="center" vertical="center" readingOrder="2"/>
    </xf>
    <xf numFmtId="0" fontId="12" fillId="8" borderId="15" xfId="0" applyFont="1" applyFill="1" applyBorder="1" applyAlignment="1">
      <alignment horizontal="center" vertical="center" readingOrder="2"/>
    </xf>
    <xf numFmtId="171" fontId="12" fillId="8" borderId="15" xfId="0" applyNumberFormat="1" applyFont="1" applyFill="1" applyBorder="1" applyAlignment="1">
      <alignment horizontal="center" vertical="center" readingOrder="2"/>
    </xf>
    <xf numFmtId="175" fontId="12" fillId="8" borderId="15" xfId="0" applyNumberFormat="1" applyFont="1" applyFill="1" applyBorder="1" applyAlignment="1">
      <alignment horizontal="center" vertical="center" readingOrder="2"/>
    </xf>
    <xf numFmtId="176" fontId="12" fillId="8" borderId="15" xfId="0" applyNumberFormat="1" applyFont="1" applyFill="1" applyBorder="1" applyAlignment="1">
      <alignment horizontal="center" vertical="center" readingOrder="2"/>
    </xf>
    <xf numFmtId="177" fontId="12" fillId="8" borderId="15" xfId="0" applyNumberFormat="1" applyFont="1" applyFill="1" applyBorder="1" applyAlignment="1">
      <alignment horizontal="center" vertical="center" readingOrder="2"/>
    </xf>
    <xf numFmtId="0" fontId="12" fillId="8" borderId="0" xfId="0" applyFont="1" applyFill="1" applyAlignment="1">
      <alignment vertical="center"/>
    </xf>
    <xf numFmtId="0" fontId="23" fillId="8" borderId="13" xfId="0" applyFont="1" applyFill="1" applyBorder="1" applyAlignment="1">
      <alignment vertical="center"/>
    </xf>
    <xf numFmtId="0" fontId="23" fillId="8" borderId="0" xfId="0" applyFont="1" applyFill="1" applyAlignment="1">
      <alignment horizontal="right" vertical="center" readingOrder="2"/>
    </xf>
    <xf numFmtId="0" fontId="12" fillId="8" borderId="28" xfId="0" applyFont="1" applyFill="1" applyBorder="1" applyAlignment="1">
      <alignment vertical="center"/>
    </xf>
    <xf numFmtId="0" fontId="12" fillId="8" borderId="2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8" borderId="4" xfId="0" applyFont="1" applyFill="1" applyBorder="1" applyAlignment="1">
      <alignment vertical="center"/>
    </xf>
    <xf numFmtId="178" fontId="12" fillId="8" borderId="15" xfId="0" applyNumberFormat="1" applyFont="1" applyFill="1" applyBorder="1" applyAlignment="1">
      <alignment horizontal="center" vertical="center" readingOrder="2"/>
    </xf>
    <xf numFmtId="0" fontId="23" fillId="8" borderId="30" xfId="0" applyFont="1" applyFill="1" applyBorder="1" applyAlignment="1">
      <alignment horizontal="center" vertical="center"/>
    </xf>
    <xf numFmtId="0" fontId="23" fillId="8" borderId="31" xfId="0" applyFont="1" applyFill="1" applyBorder="1" applyAlignment="1">
      <alignment horizontal="center" vertical="center"/>
    </xf>
    <xf numFmtId="179" fontId="12" fillId="8" borderId="0" xfId="0" applyNumberFormat="1" applyFont="1" applyFill="1" applyAlignment="1">
      <alignment vertical="center"/>
    </xf>
    <xf numFmtId="0" fontId="22" fillId="8" borderId="1" xfId="0" applyFont="1" applyFill="1" applyBorder="1" applyAlignment="1">
      <alignment horizontal="right" vertical="center" readingOrder="2"/>
    </xf>
    <xf numFmtId="0" fontId="22" fillId="8" borderId="4" xfId="0" applyFont="1" applyFill="1" applyBorder="1" applyAlignment="1">
      <alignment horizontal="right" vertical="center" readingOrder="2"/>
    </xf>
    <xf numFmtId="0" fontId="22" fillId="8" borderId="11" xfId="0" applyFont="1" applyFill="1" applyBorder="1" applyAlignment="1">
      <alignment vertical="center" readingOrder="2"/>
    </xf>
    <xf numFmtId="0" fontId="22" fillId="8" borderId="29" xfId="0" applyFont="1" applyFill="1" applyBorder="1" applyAlignment="1">
      <alignment vertical="center" readingOrder="2"/>
    </xf>
    <xf numFmtId="0" fontId="22" fillId="8" borderId="1" xfId="0" applyFont="1" applyFill="1" applyBorder="1" applyAlignment="1">
      <alignment horizontal="right" vertical="center"/>
    </xf>
  </cellXfs>
  <cellStyles count="1">
    <cellStyle name="Normal" xfId="0" builtinId="0"/>
  </cellStyles>
  <dxfs count="286">
    <dxf>
      <fill>
        <patternFill>
          <bgColor theme="6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border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Vazirmatn"/>
        <scheme val="none"/>
      </font>
      <alignment horizontal="center" vertical="center" textRotation="0" wrapText="0" indent="0" justifyLastLine="0" shrinkToFit="0" readingOrder="2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indent="0" justifyLastLine="0" shrinkToFit="0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2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178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numFmt numFmtId="0" formatCode="General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0"/>
        <color theme="1"/>
        <name val="Vazirmatn FD"/>
        <scheme val="none"/>
      </font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Vazirmatn FD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99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strRef>
              <c:f>PlayerProfile!$Z$46:$Z$47</c:f>
              <c:strCache>
                <c:ptCount val="1"/>
                <c:pt idx="0">
                  <c:v>1405/01/01</c:v>
                </c:pt>
              </c:strCache>
            </c:strRef>
          </c:cat>
          <c:val>
            <c:numRef>
              <c:f>PlayerProfile!$AA$46:$AA$47</c:f>
              <c:numCache>
                <c:formatCode>General</c:formatCode>
                <c:ptCount val="2"/>
                <c:pt idx="0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E9-4D9A-B642-8B6C4A3C8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2672000"/>
        <c:axId val="369842672"/>
      </c:lineChart>
      <c:catAx>
        <c:axId val="662672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rtl="1"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Vazirmatn" pitchFamily="2" charset="-78"/>
                <a:ea typeface="+mn-ea"/>
                <a:cs typeface="Vazirmatn" pitchFamily="2" charset="-78"/>
              </a:defRPr>
            </a:pPr>
            <a:endParaRPr lang="en-US"/>
          </a:p>
        </c:txPr>
        <c:crossAx val="369842672"/>
        <c:crosses val="autoZero"/>
        <c:auto val="1"/>
        <c:lblAlgn val="ctr"/>
        <c:lblOffset val="100"/>
        <c:noMultiLvlLbl val="0"/>
      </c:catAx>
      <c:valAx>
        <c:axId val="369842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67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chart" Target="../charts/chart1.xml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eg"/><Relationship Id="rId2" Type="http://schemas.openxmlformats.org/officeDocument/2006/relationships/image" Target="../media/image13.jpeg"/><Relationship Id="rId1" Type="http://schemas.openxmlformats.org/officeDocument/2006/relationships/image" Target="../media/image14.jpeg"/><Relationship Id="rId6" Type="http://schemas.openxmlformats.org/officeDocument/2006/relationships/image" Target="../media/image18.jpeg"/><Relationship Id="rId5" Type="http://schemas.openxmlformats.org/officeDocument/2006/relationships/image" Target="../media/image17.jpeg"/><Relationship Id="rId4" Type="http://schemas.openxmlformats.org/officeDocument/2006/relationships/image" Target="../media/image1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56970</xdr:colOff>
      <xdr:row>7</xdr:row>
      <xdr:rowOff>0</xdr:rowOff>
    </xdr:from>
    <xdr:to>
      <xdr:col>2</xdr:col>
      <xdr:colOff>155850</xdr:colOff>
      <xdr:row>24</xdr:row>
      <xdr:rowOff>17100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878CF3DF-A968-34EB-1F98-FACCEB288C3B}"/>
            </a:ext>
          </a:extLst>
        </xdr:cNvPr>
        <xdr:cNvGrpSpPr/>
      </xdr:nvGrpSpPr>
      <xdr:grpSpPr>
        <a:xfrm>
          <a:off x="10854699803" y="1391478"/>
          <a:ext cx="1424097" cy="3396405"/>
          <a:chOff x="10984683750" y="883920"/>
          <a:chExt cx="1440000" cy="338514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ADCE9F72-CB77-F114-CFE4-9A7C7DA4E1D0}"/>
              </a:ext>
            </a:extLst>
          </xdr:cNvPr>
          <xdr:cNvSpPr/>
        </xdr:nvSpPr>
        <xdr:spPr>
          <a:xfrm>
            <a:off x="10984683750" y="883920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مدریت بازیکنان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B38E6CCA-7A33-4044-8836-F96E0F2C3624}"/>
              </a:ext>
            </a:extLst>
          </xdr:cNvPr>
          <xdr:cNvSpPr/>
        </xdr:nvSpPr>
        <xdr:spPr>
          <a:xfrm>
            <a:off x="10984683750" y="1316083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solidFill>
                  <a:schemeClr val="lt1"/>
                </a:solidFill>
                <a:effectLst/>
                <a:latin typeface="Vazirmatn" pitchFamily="2" charset="-78"/>
                <a:ea typeface="+mn-ea"/>
                <a:cs typeface="Vazirmatn" pitchFamily="2" charset="-78"/>
              </a:rPr>
              <a:t>مشاهده پروفایل بازیکن</a:t>
            </a:r>
            <a:endParaRPr lang="en-US" sz="1000">
              <a:effectLst/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AE97D88F-0868-48BE-9E2A-191F05C7FCE3}"/>
              </a:ext>
            </a:extLst>
          </xdr:cNvPr>
          <xdr:cNvSpPr/>
        </xdr:nvSpPr>
        <xdr:spPr>
          <a:xfrm>
            <a:off x="10984683750" y="1748246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کادر فنی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167592AD-9CE2-4883-878C-55D924E9D15A}"/>
              </a:ext>
            </a:extLst>
          </xdr:cNvPr>
          <xdr:cNvSpPr/>
        </xdr:nvSpPr>
        <xdr:spPr>
          <a:xfrm>
            <a:off x="10984683750" y="2180409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باشگاه ها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D931B07-521E-4438-A312-CCE0CF4C2035}"/>
              </a:ext>
            </a:extLst>
          </xdr:cNvPr>
          <xdr:cNvSpPr/>
        </xdr:nvSpPr>
        <xdr:spPr>
          <a:xfrm>
            <a:off x="10984683750" y="2612572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اردوها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2050CE2-47F5-49B9-AE24-9408264A99BD}"/>
              </a:ext>
            </a:extLst>
          </xdr:cNvPr>
          <xdr:cNvSpPr/>
        </xdr:nvSpPr>
        <xdr:spPr>
          <a:xfrm>
            <a:off x="10984683750" y="3044735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اطلاعات تماس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6C30CED-D366-45F9-8E84-F9E482420111}"/>
              </a:ext>
            </a:extLst>
          </xdr:cNvPr>
          <xdr:cNvSpPr/>
        </xdr:nvSpPr>
        <xdr:spPr>
          <a:xfrm>
            <a:off x="10984683750" y="3476898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مدیریت مسابقات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4323BBA5-EBAA-43B7-B314-8146D2751AF4}"/>
              </a:ext>
            </a:extLst>
          </xdr:cNvPr>
          <xdr:cNvSpPr/>
        </xdr:nvSpPr>
        <xdr:spPr>
          <a:xfrm>
            <a:off x="10984683750" y="3909060"/>
            <a:ext cx="1440000" cy="360000"/>
          </a:xfrm>
          <a:prstGeom prst="roundRect">
            <a:avLst/>
          </a:prstGeom>
          <a:solidFill>
            <a:schemeClr val="tx2">
              <a:lumMod val="75000"/>
              <a:lumOff val="25000"/>
            </a:schemeClr>
          </a:solidFill>
          <a:scene3d>
            <a:camera prst="orthographicFront"/>
            <a:lightRig rig="threePt" dir="t"/>
          </a:scene3d>
          <a:sp3d>
            <a:bevelT w="25400" h="38100"/>
          </a:sp3d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1"/>
            <a:r>
              <a:rPr lang="fa-IR" sz="1000" baseline="0">
                <a:latin typeface="Vazirmatn" pitchFamily="2" charset="-78"/>
                <a:cs typeface="Vazirmatn" pitchFamily="2" charset="-78"/>
              </a:rPr>
              <a:t>تنظیمات</a:t>
            </a:r>
            <a:endParaRPr lang="en-US" sz="1000" baseline="0">
              <a:latin typeface="Vazirmatn" pitchFamily="2" charset="-78"/>
              <a:cs typeface="Vazirmatn" pitchFamily="2" charset="-78"/>
            </a:endParaRPr>
          </a:p>
        </xdr:txBody>
      </xdr:sp>
    </xdr:grpSp>
    <xdr:clientData/>
  </xdr:twoCellAnchor>
  <xdr:twoCellAnchor>
    <xdr:from>
      <xdr:col>4</xdr:col>
      <xdr:colOff>495300</xdr:colOff>
      <xdr:row>8</xdr:row>
      <xdr:rowOff>83820</xdr:rowOff>
    </xdr:from>
    <xdr:to>
      <xdr:col>9</xdr:col>
      <xdr:colOff>384540</xdr:colOff>
      <xdr:row>18</xdr:row>
      <xdr:rowOff>186600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89BDFCAF-E0E8-D05E-14EA-05F865BC5228}"/>
            </a:ext>
          </a:extLst>
        </xdr:cNvPr>
        <xdr:cNvGrpSpPr/>
      </xdr:nvGrpSpPr>
      <xdr:grpSpPr>
        <a:xfrm>
          <a:off x="10849832852" y="1674081"/>
          <a:ext cx="3202283" cy="2090606"/>
          <a:chOff x="10979182020" y="906780"/>
          <a:chExt cx="3242040" cy="2083980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BE9238F-FF96-9F54-9640-E23B8BF028E7}"/>
              </a:ext>
            </a:extLst>
          </xdr:cNvPr>
          <xdr:cNvSpPr/>
        </xdr:nvSpPr>
        <xdr:spPr>
          <a:xfrm>
            <a:off x="1098134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بازیکن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A6686296-D835-4915-BCD8-2ED923DFA053}"/>
              </a:ext>
            </a:extLst>
          </xdr:cNvPr>
          <xdr:cNvSpPr/>
        </xdr:nvSpPr>
        <xdr:spPr>
          <a:xfrm>
            <a:off x="1098026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کادر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A09E42-D6F1-45DB-A71D-DCEF1F9FD5F1}"/>
              </a:ext>
            </a:extLst>
          </xdr:cNvPr>
          <xdr:cNvSpPr/>
        </xdr:nvSpPr>
        <xdr:spPr>
          <a:xfrm>
            <a:off x="10979182020" y="90678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باشگاه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664551ED-AE76-44B7-B1ED-D72AA2EAA904}"/>
              </a:ext>
            </a:extLst>
          </xdr:cNvPr>
          <xdr:cNvSpPr/>
        </xdr:nvSpPr>
        <xdr:spPr>
          <a:xfrm>
            <a:off x="1098134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اردوها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93684467-1B88-4B12-8E16-E1E1541EC60A}"/>
              </a:ext>
            </a:extLst>
          </xdr:cNvPr>
          <xdr:cNvSpPr/>
        </xdr:nvSpPr>
        <xdr:spPr>
          <a:xfrm>
            <a:off x="1098026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مسابقات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  <xdr:sp macro="" textlink="">
        <xdr:nvSpPr>
          <xdr:cNvPr id="15" name="Rectangle: Rounded Corners 14">
            <a:extLst>
              <a:ext uri="{FF2B5EF4-FFF2-40B4-BE49-F238E27FC236}">
                <a16:creationId xmlns:a16="http://schemas.microsoft.com/office/drawing/2014/main" id="{FF22DBEF-B7C6-4E0A-AB72-79A4FDCF003B}"/>
              </a:ext>
            </a:extLst>
          </xdr:cNvPr>
          <xdr:cNvSpPr/>
        </xdr:nvSpPr>
        <xdr:spPr>
          <a:xfrm>
            <a:off x="10979184060" y="2270760"/>
            <a:ext cx="1080000" cy="720000"/>
          </a:xfrm>
          <a:prstGeom prst="roundRect">
            <a:avLst/>
          </a:prstGeom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 rtl="1"/>
            <a:r>
              <a:rPr lang="fa-IR" sz="1050">
                <a:latin typeface="Vazirmatn" pitchFamily="2" charset="-78"/>
                <a:cs typeface="Vazirmatn" pitchFamily="2" charset="-78"/>
              </a:rPr>
              <a:t>مصدومین</a:t>
            </a:r>
            <a:endParaRPr lang="en-US" sz="1050">
              <a:latin typeface="Vazirmatn" pitchFamily="2" charset="-78"/>
              <a:cs typeface="Vazirmatn" pitchFamily="2" charset="-78"/>
            </a:endParaRPr>
          </a:p>
        </xdr:txBody>
      </xdr:sp>
    </xdr:grpSp>
    <xdr:clientData/>
  </xdr:twoCellAnchor>
  <xdr:twoCellAnchor>
    <xdr:from>
      <xdr:col>0</xdr:col>
      <xdr:colOff>15240</xdr:colOff>
      <xdr:row>0</xdr:row>
      <xdr:rowOff>16234</xdr:rowOff>
    </xdr:from>
    <xdr:to>
      <xdr:col>9</xdr:col>
      <xdr:colOff>457200</xdr:colOff>
      <xdr:row>5</xdr:row>
      <xdr:rowOff>105634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8BF77682-4FDA-D8AA-96A8-59BC2E1C1E99}"/>
            </a:ext>
          </a:extLst>
        </xdr:cNvPr>
        <xdr:cNvSpPr/>
      </xdr:nvSpPr>
      <xdr:spPr>
        <a:xfrm>
          <a:off x="10849760192" y="16234"/>
          <a:ext cx="6405438" cy="1083313"/>
        </a:xfrm>
        <a:prstGeom prst="roundRect">
          <a:avLst/>
        </a:prstGeom>
        <a:solidFill>
          <a:srgbClr val="00206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سیستم مدیریت اطلاعات</a:t>
          </a:r>
          <a:r>
            <a:rPr lang="en-US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</a:t>
          </a:r>
          <a:r>
            <a:rPr lang="fa-IR" sz="16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تیم ملی فوتبال ساحلی</a:t>
          </a:r>
          <a:endParaRPr lang="en-US" sz="1600" b="1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Beach Soccer National Team Management System</a:t>
          </a:r>
        </a:p>
        <a:p>
          <a:pPr algn="ctr" rtl="1"/>
          <a:endParaRPr lang="fa-IR" sz="600">
            <a:solidFill>
              <a:schemeClr val="bg1"/>
            </a:solidFill>
            <a:latin typeface="Vazirmatn" pitchFamily="2" charset="-78"/>
            <a:cs typeface="Vazirmatn" pitchFamily="2" charset="-78"/>
          </a:endParaRPr>
        </a:p>
        <a:p>
          <a:pPr algn="ctr" rtl="1"/>
          <a:r>
            <a:rPr lang="fa-IR" sz="100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آخرین</a:t>
          </a:r>
          <a:r>
            <a:rPr lang="fa-IR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بروزرسانی : 1405/05/14           </a:t>
          </a:r>
          <a:r>
            <a:rPr lang="en-US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            </a:t>
          </a:r>
          <a:r>
            <a:rPr lang="fa-IR" sz="1000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t>                       نسخه : 1.0</a:t>
          </a:r>
          <a:endParaRPr lang="en-US" sz="100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1</xdr:col>
      <xdr:colOff>421680</xdr:colOff>
      <xdr:row>25</xdr:row>
      <xdr:rowOff>30480</xdr:rowOff>
    </xdr:from>
    <xdr:to>
      <xdr:col>9</xdr:col>
      <xdr:colOff>457200</xdr:colOff>
      <xdr:row>34</xdr:row>
      <xdr:rowOff>47400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DABCCE0B-838B-BE32-002E-2604439FAAAA}"/>
            </a:ext>
          </a:extLst>
        </xdr:cNvPr>
        <xdr:cNvSpPr/>
      </xdr:nvSpPr>
      <xdr:spPr>
        <a:xfrm>
          <a:off x="10855185300" y="4983480"/>
          <a:ext cx="5339040" cy="180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1</xdr:col>
      <xdr:colOff>453420</xdr:colOff>
      <xdr:row>25</xdr:row>
      <xdr:rowOff>60960</xdr:rowOff>
    </xdr:from>
    <xdr:to>
      <xdr:col>4</xdr:col>
      <xdr:colOff>205740</xdr:colOff>
      <xdr:row>34</xdr:row>
      <xdr:rowOff>5880</xdr:rowOff>
    </xdr:to>
    <xdr:sp macro="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36B490E0-0346-B82B-FB12-19B91D5A4DB7}"/>
            </a:ext>
          </a:extLst>
        </xdr:cNvPr>
        <xdr:cNvSpPr/>
      </xdr:nvSpPr>
      <xdr:spPr>
        <a:xfrm>
          <a:off x="1098356706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آخرین اردو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4</xdr:col>
      <xdr:colOff>225570</xdr:colOff>
      <xdr:row>25</xdr:row>
      <xdr:rowOff>60960</xdr:rowOff>
    </xdr:from>
    <xdr:to>
      <xdr:col>6</xdr:col>
      <xdr:colOff>648450</xdr:colOff>
      <xdr:row>34</xdr:row>
      <xdr:rowOff>5880</xdr:rowOff>
    </xdr:to>
    <xdr:sp macro="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F9126250-E013-4B4B-B75E-F233DF98E606}"/>
            </a:ext>
          </a:extLst>
        </xdr:cNvPr>
        <xdr:cNvSpPr/>
      </xdr:nvSpPr>
      <xdr:spPr>
        <a:xfrm>
          <a:off x="1098178323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آخرین</a:t>
          </a:r>
          <a:r>
            <a:rPr lang="fa-IR" sz="1100" baseline="0">
              <a:latin typeface="Vazirmatn" pitchFamily="2" charset="-78"/>
              <a:cs typeface="Vazirmatn" pitchFamily="2" charset="-78"/>
            </a:rPr>
            <a:t> مسابقه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6</xdr:col>
      <xdr:colOff>668280</xdr:colOff>
      <xdr:row>25</xdr:row>
      <xdr:rowOff>60960</xdr:rowOff>
    </xdr:from>
    <xdr:to>
      <xdr:col>9</xdr:col>
      <xdr:colOff>420600</xdr:colOff>
      <xdr:row>34</xdr:row>
      <xdr:rowOff>5880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4420F11C-81D4-4B21-AC5E-19340C976C7A}"/>
            </a:ext>
          </a:extLst>
        </xdr:cNvPr>
        <xdr:cNvSpPr/>
      </xdr:nvSpPr>
      <xdr:spPr>
        <a:xfrm>
          <a:off x="10979999400" y="5013960"/>
          <a:ext cx="1764000" cy="172800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latin typeface="Vazirmatn" pitchFamily="2" charset="-78"/>
              <a:cs typeface="Vazirmatn" pitchFamily="2" charset="-78"/>
            </a:rPr>
            <a:t>وضعیت پزشکی</a:t>
          </a:r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oneCell">
    <xdr:from>
      <xdr:col>3</xdr:col>
      <xdr:colOff>371520</xdr:colOff>
      <xdr:row>25</xdr:row>
      <xdr:rowOff>129540</xdr:rowOff>
    </xdr:from>
    <xdr:to>
      <xdr:col>4</xdr:col>
      <xdr:colOff>60960</xdr:colOff>
      <xdr:row>27</xdr:row>
      <xdr:rowOff>93300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6E743E48-76A0-953D-260F-470DB575C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3711840" y="50825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594900</xdr:colOff>
      <xdr:row>25</xdr:row>
      <xdr:rowOff>160020</xdr:rowOff>
    </xdr:from>
    <xdr:to>
      <xdr:col>9</xdr:col>
      <xdr:colOff>284340</xdr:colOff>
      <xdr:row>27</xdr:row>
      <xdr:rowOff>123780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13A5E4A0-5FE6-59F0-05D4-72593524BC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980135660" y="51130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71520</xdr:colOff>
      <xdr:row>25</xdr:row>
      <xdr:rowOff>147600</xdr:rowOff>
    </xdr:from>
    <xdr:to>
      <xdr:col>6</xdr:col>
      <xdr:colOff>431520</xdr:colOff>
      <xdr:row>27</xdr:row>
      <xdr:rowOff>111360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8CFEF272-B166-3A3D-CF94-2C1981E5E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0982000160" y="5100600"/>
          <a:ext cx="360000" cy="360000"/>
        </a:xfrm>
        <a:prstGeom prst="rect">
          <a:avLst/>
        </a:prstGeom>
      </xdr:spPr>
    </xdr:pic>
    <xdr:clientData/>
  </xdr:twoCellAnchor>
  <xdr:oneCellAnchor>
    <xdr:from>
      <xdr:col>2</xdr:col>
      <xdr:colOff>488695</xdr:colOff>
      <xdr:row>5</xdr:row>
      <xdr:rowOff>105559</xdr:rowOff>
    </xdr:from>
    <xdr:ext cx="4343305" cy="3231654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EEE3C055-BDF2-305F-8ACD-FF0A1E64FCB5}"/>
            </a:ext>
          </a:extLst>
        </xdr:cNvPr>
        <xdr:cNvSpPr/>
      </xdr:nvSpPr>
      <xdr:spPr>
        <a:xfrm rot="20112244">
          <a:off x="10850023653" y="1099472"/>
          <a:ext cx="4343305" cy="323165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Beach Soccer</a:t>
          </a:r>
        </a:p>
        <a:p>
          <a:pPr algn="ctr"/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National Team</a:t>
          </a:r>
          <a:b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</a:br>
          <a:r>
            <a:rPr lang="en-US" sz="4800" b="0" cap="none" spc="0">
              <a:ln w="0">
                <a:solidFill>
                  <a:schemeClr val="accent1">
                    <a:lumMod val="40000"/>
                    <a:lumOff val="60000"/>
                  </a:schemeClr>
                </a:solidFill>
              </a:ln>
              <a:noFill/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Yulltan" panose="00000500000000000000" pitchFamily="2" charset="0"/>
            </a:rPr>
            <a:t>Management System</a:t>
          </a:r>
        </a:p>
      </xdr:txBody>
    </xdr:sp>
    <xdr:clientData/>
  </xdr:oneCellAnchor>
  <xdr:twoCellAnchor editAs="oneCell">
    <xdr:from>
      <xdr:col>8</xdr:col>
      <xdr:colOff>235759</xdr:colOff>
      <xdr:row>1</xdr:row>
      <xdr:rowOff>127931</xdr:rowOff>
    </xdr:from>
    <xdr:to>
      <xdr:col>9</xdr:col>
      <xdr:colOff>226318</xdr:colOff>
      <xdr:row>3</xdr:row>
      <xdr:rowOff>177648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3275756-D29C-4883-AC2F-FE6BD9D0C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9991074" y="326714"/>
          <a:ext cx="653167" cy="4472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29665</xdr:colOff>
      <xdr:row>4</xdr:row>
      <xdr:rowOff>14817</xdr:rowOff>
    </xdr:from>
    <xdr:to>
      <xdr:col>2</xdr:col>
      <xdr:colOff>239932</xdr:colOff>
      <xdr:row>18</xdr:row>
      <xdr:rowOff>250371</xdr:rowOff>
    </xdr:to>
    <xdr:sp macro="" textlink="">
      <xdr:nvSpPr>
        <xdr:cNvPr id="52" name="Rectangle: Rounded Corners 51">
          <a:extLst>
            <a:ext uri="{FF2B5EF4-FFF2-40B4-BE49-F238E27FC236}">
              <a16:creationId xmlns:a16="http://schemas.microsoft.com/office/drawing/2014/main" id="{0DD5BCB9-BC3D-53A0-8542-FACB5345A13B}"/>
            </a:ext>
          </a:extLst>
        </xdr:cNvPr>
        <xdr:cNvSpPr/>
      </xdr:nvSpPr>
      <xdr:spPr>
        <a:xfrm>
          <a:off x="11060157410" y="1103388"/>
          <a:ext cx="1560096" cy="7583412"/>
        </a:xfrm>
        <a:prstGeom prst="roundRect">
          <a:avLst>
            <a:gd name="adj" fmla="val 5692"/>
          </a:avLst>
        </a:prstGeom>
        <a:solidFill>
          <a:schemeClr val="bg1">
            <a:lumMod val="9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22860</xdr:rowOff>
    </xdr:from>
    <xdr:to>
      <xdr:col>12</xdr:col>
      <xdr:colOff>172442</xdr:colOff>
      <xdr:row>3</xdr:row>
      <xdr:rowOff>162375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F58D5C-A33A-25BD-5F84-28B5A7483850}"/>
            </a:ext>
          </a:extLst>
        </xdr:cNvPr>
        <xdr:cNvSpPr/>
      </xdr:nvSpPr>
      <xdr:spPr>
        <a:xfrm>
          <a:off x="10861868617" y="22860"/>
          <a:ext cx="12929218" cy="973233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" pitchFamily="2" charset="-78"/>
              <a:cs typeface="Vazirmatn" pitchFamily="2" charset="-78"/>
            </a:rPr>
            <a:t>مدیریت بازیکنان </a:t>
          </a:r>
          <a:endParaRPr lang="en-US" sz="1800" b="1">
            <a:latin typeface="Vazirmatn" pitchFamily="2" charset="-78"/>
            <a:cs typeface="Vazirmatn" pitchFamily="2" charset="-78"/>
          </a:endParaRPr>
        </a:p>
        <a:p>
          <a:pPr algn="ctr" rtl="1"/>
          <a:r>
            <a:rPr lang="en-US" sz="1100" b="1">
              <a:latin typeface="Vazirmatn" pitchFamily="2" charset="-78"/>
              <a:cs typeface="Vazirmatn" pitchFamily="2" charset="-78"/>
            </a:rPr>
            <a:t>Players Management</a:t>
          </a:r>
          <a:endParaRPr lang="fa-IR" sz="1100" b="1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3</xdr:col>
      <xdr:colOff>291399</xdr:colOff>
      <xdr:row>17</xdr:row>
      <xdr:rowOff>228385</xdr:rowOff>
    </xdr:from>
    <xdr:to>
      <xdr:col>4</xdr:col>
      <xdr:colOff>542680</xdr:colOff>
      <xdr:row>18</xdr:row>
      <xdr:rowOff>39272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B016281-5BEE-2D99-0451-A031A06A8D75}"/>
            </a:ext>
          </a:extLst>
        </xdr:cNvPr>
        <xdr:cNvSpPr/>
      </xdr:nvSpPr>
      <xdr:spPr>
        <a:xfrm>
          <a:off x="11057872823" y="8130053"/>
          <a:ext cx="1448708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جدید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4</xdr:col>
      <xdr:colOff>996933</xdr:colOff>
      <xdr:row>17</xdr:row>
      <xdr:rowOff>228385</xdr:rowOff>
    </xdr:from>
    <xdr:to>
      <xdr:col>5</xdr:col>
      <xdr:colOff>1017052</xdr:colOff>
      <xdr:row>18</xdr:row>
      <xdr:rowOff>39272</xdr:rowOff>
    </xdr:to>
    <xdr:sp macro="[0]!OpenPlayerPro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9D67C01-75B1-4CD7-9C83-14646CB9C7CF}"/>
            </a:ext>
          </a:extLst>
        </xdr:cNvPr>
        <xdr:cNvSpPr/>
      </xdr:nvSpPr>
      <xdr:spPr>
        <a:xfrm>
          <a:off x="11055960448" y="8130053"/>
          <a:ext cx="1446147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مشاهده پروفایل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6</xdr:col>
      <xdr:colOff>57252</xdr:colOff>
      <xdr:row>17</xdr:row>
      <xdr:rowOff>228385</xdr:rowOff>
    </xdr:from>
    <xdr:to>
      <xdr:col>7</xdr:col>
      <xdr:colOff>831045</xdr:colOff>
      <xdr:row>18</xdr:row>
      <xdr:rowOff>39272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8792D3DE-1D18-49AB-AFBD-3C8B753A2ED6}"/>
            </a:ext>
          </a:extLst>
        </xdr:cNvPr>
        <xdr:cNvSpPr/>
      </xdr:nvSpPr>
      <xdr:spPr>
        <a:xfrm>
          <a:off x="11054045511" y="8130053"/>
          <a:ext cx="1448709" cy="355173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 اطلاعات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0</xdr:col>
      <xdr:colOff>135256</xdr:colOff>
      <xdr:row>0</xdr:row>
      <xdr:rowOff>68580</xdr:rowOff>
    </xdr:from>
    <xdr:to>
      <xdr:col>1</xdr:col>
      <xdr:colOff>464820</xdr:colOff>
      <xdr:row>1</xdr:row>
      <xdr:rowOff>72735</xdr:rowOff>
    </xdr:to>
    <xdr:sp macro="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54ADA45-E65B-4159-96BD-5DD75E4F48AF}"/>
            </a:ext>
          </a:extLst>
        </xdr:cNvPr>
        <xdr:cNvSpPr/>
      </xdr:nvSpPr>
      <xdr:spPr>
        <a:xfrm>
          <a:off x="10873669627" y="68580"/>
          <a:ext cx="992952" cy="282061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900">
              <a:solidFill>
                <a:schemeClr val="bg1"/>
              </a:solidFill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تاریخ</a:t>
          </a:r>
          <a:r>
            <a:rPr lang="fa-IR" sz="900" baseline="0">
              <a:solidFill>
                <a:schemeClr val="bg1"/>
              </a:solidFill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 :</a:t>
          </a:r>
        </a:p>
      </xdr:txBody>
    </xdr:sp>
    <xdr:clientData/>
  </xdr:twoCellAnchor>
  <xdr:twoCellAnchor editAs="absolute">
    <xdr:from>
      <xdr:col>10</xdr:col>
      <xdr:colOff>315567</xdr:colOff>
      <xdr:row>0</xdr:row>
      <xdr:rowOff>103545</xdr:rowOff>
    </xdr:from>
    <xdr:to>
      <xdr:col>11</xdr:col>
      <xdr:colOff>1461105</xdr:colOff>
      <xdr:row>3</xdr:row>
      <xdr:rowOff>55664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97607550-4E87-4222-8B8C-9866F4A54678}"/>
            </a:ext>
          </a:extLst>
        </xdr:cNvPr>
        <xdr:cNvSpPr/>
      </xdr:nvSpPr>
      <xdr:spPr>
        <a:xfrm>
          <a:off x="10862588048" y="103545"/>
          <a:ext cx="1808926" cy="78583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سیستم</a:t>
          </a:r>
          <a:r>
            <a:rPr lang="fa-IR" sz="1000" baseline="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" pitchFamily="2" charset="-78"/>
              <a:ea typeface="Tahoma" panose="020B0604030504040204" pitchFamily="34" charset="0"/>
              <a:cs typeface="Vazirmatn" pitchFamily="2" charset="-78"/>
            </a:rPr>
            <a:t>تیم ملی فوتبال ساحلی</a:t>
          </a:r>
          <a:endParaRPr lang="en-US" sz="1000">
            <a:latin typeface="Vazirmatn" pitchFamily="2" charset="-78"/>
            <a:ea typeface="Tahoma" panose="020B0604030504040204" pitchFamily="34" charset="0"/>
            <a:cs typeface="Vazirmatn" pitchFamily="2" charset="-78"/>
          </a:endParaRPr>
        </a:p>
      </xdr:txBody>
    </xdr:sp>
    <xdr:clientData/>
  </xdr:twoCellAnchor>
  <xdr:twoCellAnchor editAs="oneCell">
    <xdr:from>
      <xdr:col>11</xdr:col>
      <xdr:colOff>1236345</xdr:colOff>
      <xdr:row>0</xdr:row>
      <xdr:rowOff>241085</xdr:rowOff>
    </xdr:from>
    <xdr:to>
      <xdr:col>11</xdr:col>
      <xdr:colOff>1889843</xdr:colOff>
      <xdr:row>2</xdr:row>
      <xdr:rowOff>131230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AA2E1C29-2272-4257-BFE9-0305A5D05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49394348" y="241085"/>
          <a:ext cx="653498" cy="446736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>
    <xdr:from>
      <xdr:col>0</xdr:col>
      <xdr:colOff>71967</xdr:colOff>
      <xdr:row>4</xdr:row>
      <xdr:rowOff>77470</xdr:rowOff>
    </xdr:from>
    <xdr:to>
      <xdr:col>2</xdr:col>
      <xdr:colOff>178467</xdr:colOff>
      <xdr:row>6</xdr:row>
      <xdr:rowOff>485041</xdr:rowOff>
    </xdr:to>
    <xdr:sp macro="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6F2D034F-A303-D4CF-72DE-1C509F246EE1}"/>
            </a:ext>
          </a:extLst>
        </xdr:cNvPr>
        <xdr:cNvSpPr/>
      </xdr:nvSpPr>
      <xdr:spPr>
        <a:xfrm>
          <a:off x="11060218875" y="1166041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کل بازیکنان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6</xdr:row>
      <xdr:rowOff>511597</xdr:rowOff>
    </xdr:from>
    <xdr:to>
      <xdr:col>2</xdr:col>
      <xdr:colOff>178467</xdr:colOff>
      <xdr:row>9</xdr:row>
      <xdr:rowOff>102740</xdr:rowOff>
    </xdr:to>
    <xdr:sp macro="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3D3EDE36-EA7A-41B4-A009-D8AD5347050F}"/>
            </a:ext>
          </a:extLst>
        </xdr:cNvPr>
        <xdr:cNvSpPr/>
      </xdr:nvSpPr>
      <xdr:spPr>
        <a:xfrm>
          <a:off x="11060218875" y="2416597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بازیکنان فعال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9</xdr:row>
      <xdr:rowOff>129296</xdr:rowOff>
    </xdr:from>
    <xdr:to>
      <xdr:col>2</xdr:col>
      <xdr:colOff>178467</xdr:colOff>
      <xdr:row>11</xdr:row>
      <xdr:rowOff>264724</xdr:rowOff>
    </xdr:to>
    <xdr:sp macro="" textlink="">
      <xdr:nvSpPr>
        <xdr:cNvPr id="47" name="Rectangle: Rounded Corners 46">
          <a:extLst>
            <a:ext uri="{FF2B5EF4-FFF2-40B4-BE49-F238E27FC236}">
              <a16:creationId xmlns:a16="http://schemas.microsoft.com/office/drawing/2014/main" id="{EEBF59AF-E4E7-4CCE-AEC6-72F620D9159C}"/>
            </a:ext>
          </a:extLst>
        </xdr:cNvPr>
        <xdr:cNvSpPr/>
      </xdr:nvSpPr>
      <xdr:spPr>
        <a:xfrm>
          <a:off x="11060218875" y="3667153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بازیکنان مصدوم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11</xdr:row>
      <xdr:rowOff>291280</xdr:rowOff>
    </xdr:from>
    <xdr:to>
      <xdr:col>2</xdr:col>
      <xdr:colOff>178467</xdr:colOff>
      <xdr:row>13</xdr:row>
      <xdr:rowOff>426709</xdr:rowOff>
    </xdr:to>
    <xdr:sp macro="" textlink="">
      <xdr:nvSpPr>
        <xdr:cNvPr id="48" name="Rectangle: Rounded Corners 47">
          <a:extLst>
            <a:ext uri="{FF2B5EF4-FFF2-40B4-BE49-F238E27FC236}">
              <a16:creationId xmlns:a16="http://schemas.microsoft.com/office/drawing/2014/main" id="{B93BAA29-90A7-54EE-289B-DD1532DF01C7}"/>
            </a:ext>
          </a:extLst>
        </xdr:cNvPr>
        <xdr:cNvSpPr/>
      </xdr:nvSpPr>
      <xdr:spPr>
        <a:xfrm>
          <a:off x="11060218875" y="4917709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دروازه بان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16</xdr:row>
      <xdr:rowOff>70966</xdr:rowOff>
    </xdr:from>
    <xdr:to>
      <xdr:col>2</xdr:col>
      <xdr:colOff>178467</xdr:colOff>
      <xdr:row>18</xdr:row>
      <xdr:rowOff>206394</xdr:rowOff>
    </xdr:to>
    <xdr:sp macro="" textlink="">
      <xdr:nvSpPr>
        <xdr:cNvPr id="49" name="Rectangle: Rounded Corners 48">
          <a:extLst>
            <a:ext uri="{FF2B5EF4-FFF2-40B4-BE49-F238E27FC236}">
              <a16:creationId xmlns:a16="http://schemas.microsoft.com/office/drawing/2014/main" id="{58DC7769-36D9-3B3D-E4A5-00736F4658FD}"/>
            </a:ext>
          </a:extLst>
        </xdr:cNvPr>
        <xdr:cNvSpPr/>
      </xdr:nvSpPr>
      <xdr:spPr>
        <a:xfrm>
          <a:off x="11060218875" y="7418823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آخرین</a:t>
          </a:r>
          <a:r>
            <a:rPr lang="fa-IR" sz="1000" b="1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دعوت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71967</xdr:colOff>
      <xdr:row>13</xdr:row>
      <xdr:rowOff>453265</xdr:rowOff>
    </xdr:from>
    <xdr:to>
      <xdr:col>2</xdr:col>
      <xdr:colOff>178467</xdr:colOff>
      <xdr:row>16</xdr:row>
      <xdr:rowOff>44408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BC59B2D2-B023-AD76-4365-6C85EE00FF73}"/>
            </a:ext>
          </a:extLst>
        </xdr:cNvPr>
        <xdr:cNvSpPr/>
      </xdr:nvSpPr>
      <xdr:spPr>
        <a:xfrm>
          <a:off x="11060218875" y="6168265"/>
          <a:ext cx="1456329" cy="1224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میانگین سن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10</xdr:col>
      <xdr:colOff>267808</xdr:colOff>
      <xdr:row>4</xdr:row>
      <xdr:rowOff>14818</xdr:rowOff>
    </xdr:from>
    <xdr:to>
      <xdr:col>12</xdr:col>
      <xdr:colOff>3283</xdr:colOff>
      <xdr:row>5</xdr:row>
      <xdr:rowOff>98593</xdr:rowOff>
    </xdr:to>
    <xdr:sp macro="" textlink="">
      <xdr:nvSpPr>
        <xdr:cNvPr id="53" name="Rectangle: Top Corners Rounded 52">
          <a:extLst>
            <a:ext uri="{FF2B5EF4-FFF2-40B4-BE49-F238E27FC236}">
              <a16:creationId xmlns:a16="http://schemas.microsoft.com/office/drawing/2014/main" id="{47454AAD-7F5A-46B9-994E-EDD6337B0AD1}"/>
            </a:ext>
          </a:extLst>
        </xdr:cNvPr>
        <xdr:cNvSpPr/>
      </xdr:nvSpPr>
      <xdr:spPr>
        <a:xfrm>
          <a:off x="10915360967" y="1119718"/>
          <a:ext cx="2412000" cy="360000"/>
        </a:xfrm>
        <a:prstGeom prst="round2SameRect">
          <a:avLst/>
        </a:prstGeom>
        <a:solidFill>
          <a:schemeClr val="bg1"/>
        </a:solidFill>
        <a:ln>
          <a:solidFill>
            <a:schemeClr val="bg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000" b="1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جستجو</a:t>
          </a:r>
          <a:endParaRPr lang="en-US" sz="1000" b="1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10</xdr:col>
      <xdr:colOff>285738</xdr:colOff>
      <xdr:row>5</xdr:row>
      <xdr:rowOff>119593</xdr:rowOff>
    </xdr:from>
    <xdr:to>
      <xdr:col>12</xdr:col>
      <xdr:colOff>21213</xdr:colOff>
      <xdr:row>18</xdr:row>
      <xdr:rowOff>261258</xdr:rowOff>
    </xdr:to>
    <xdr:sp macro="" textlink="">
      <xdr:nvSpPr>
        <xdr:cNvPr id="55" name="Rectangle: Top Corners Rounded 54">
          <a:extLst>
            <a:ext uri="{FF2B5EF4-FFF2-40B4-BE49-F238E27FC236}">
              <a16:creationId xmlns:a16="http://schemas.microsoft.com/office/drawing/2014/main" id="{AEBA5B6B-8249-4B83-9306-275AFF33B0A7}"/>
            </a:ext>
          </a:extLst>
        </xdr:cNvPr>
        <xdr:cNvSpPr/>
      </xdr:nvSpPr>
      <xdr:spPr>
        <a:xfrm>
          <a:off x="11007068787" y="1509122"/>
          <a:ext cx="2415922" cy="7134136"/>
        </a:xfrm>
        <a:prstGeom prst="round2SameRect">
          <a:avLst>
            <a:gd name="adj1" fmla="val 0"/>
            <a:gd name="adj2" fmla="val 6664"/>
          </a:avLst>
        </a:prstGeom>
        <a:noFill/>
        <a:ln>
          <a:solidFill>
            <a:schemeClr val="tx1"/>
          </a:solidFill>
        </a:ln>
        <a:effectLst>
          <a:glow rad="38100">
            <a:schemeClr val="bg1">
              <a:lumMod val="85000"/>
              <a:alpha val="5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8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11</xdr:col>
      <xdr:colOff>864119</xdr:colOff>
      <xdr:row>17</xdr:row>
      <xdr:rowOff>226107</xdr:rowOff>
    </xdr:from>
    <xdr:to>
      <xdr:col>11</xdr:col>
      <xdr:colOff>1944119</xdr:colOff>
      <xdr:row>18</xdr:row>
      <xdr:rowOff>41549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91D7C7-61DC-AE42-CB20-2403B4833CE8}"/>
            </a:ext>
          </a:extLst>
        </xdr:cNvPr>
        <xdr:cNvSpPr/>
      </xdr:nvSpPr>
      <xdr:spPr>
        <a:xfrm>
          <a:off x="10872089795" y="8129136"/>
          <a:ext cx="1080000" cy="359727"/>
        </a:xfrm>
        <a:prstGeom prst="roundRect">
          <a:avLst/>
        </a:prstGeom>
        <a:solidFill>
          <a:schemeClr val="bg1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پاک کردن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10</xdr:col>
      <xdr:colOff>397394</xdr:colOff>
      <xdr:row>17</xdr:row>
      <xdr:rowOff>226107</xdr:rowOff>
    </xdr:from>
    <xdr:to>
      <xdr:col>11</xdr:col>
      <xdr:colOff>810644</xdr:colOff>
      <xdr:row>18</xdr:row>
      <xdr:rowOff>41549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2B0BA07-E8C7-0351-A0BF-5FCD40F2AFE4}"/>
            </a:ext>
          </a:extLst>
        </xdr:cNvPr>
        <xdr:cNvSpPr/>
      </xdr:nvSpPr>
      <xdr:spPr>
        <a:xfrm>
          <a:off x="10873223270" y="8129136"/>
          <a:ext cx="1077278" cy="359727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جستجو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oneCellAnchor>
    <xdr:from>
      <xdr:col>1</xdr:col>
      <xdr:colOff>528917</xdr:colOff>
      <xdr:row>0</xdr:row>
      <xdr:rowOff>68580</xdr:rowOff>
    </xdr:from>
    <xdr:ext cx="1080000" cy="288000"/>
    <xdr:sp macro="" textlink="B1">
      <xdr:nvSpPr>
        <xdr:cNvPr id="9" name="Rectangle: Rounded Corners 8">
          <a:extLst>
            <a:ext uri="{FF2B5EF4-FFF2-40B4-BE49-F238E27FC236}">
              <a16:creationId xmlns:a16="http://schemas.microsoft.com/office/drawing/2014/main" id="{F02BBD18-3772-15A2-AD50-3B123EF879E7}"/>
            </a:ext>
          </a:extLst>
        </xdr:cNvPr>
        <xdr:cNvSpPr/>
      </xdr:nvSpPr>
      <xdr:spPr>
        <a:xfrm>
          <a:off x="10872525530" y="68580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2EAED183-0FFC-46A5-8449-5F76CDF32902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pPr algn="ctr" rtl="1"/>
            <a:t>1405/05/19</a:t>
          </a:fld>
          <a:endParaRPr lang="en-US" sz="1100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0</xdr:col>
      <xdr:colOff>135256</xdr:colOff>
      <xdr:row>1</xdr:row>
      <xdr:rowOff>93345</xdr:rowOff>
    </xdr:from>
    <xdr:to>
      <xdr:col>1</xdr:col>
      <xdr:colOff>464820</xdr:colOff>
      <xdr:row>2</xdr:row>
      <xdr:rowOff>107025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B9DEB938-F909-44D9-8F59-C542FA675BD3}"/>
            </a:ext>
          </a:extLst>
        </xdr:cNvPr>
        <xdr:cNvSpPr/>
      </xdr:nvSpPr>
      <xdr:spPr>
        <a:xfrm>
          <a:off x="10873669627" y="371251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" pitchFamily="2" charset="-78"/>
              <a:ea typeface="+mn-ea"/>
              <a:cs typeface="Vazirmatn" pitchFamily="2" charset="-78"/>
            </a:rPr>
            <a:t>آخرین بروزرسانی :</a:t>
          </a:r>
        </a:p>
      </xdr:txBody>
    </xdr:sp>
    <xdr:clientData/>
  </xdr:twoCellAnchor>
  <xdr:twoCellAnchor editAs="absolute">
    <xdr:from>
      <xdr:col>0</xdr:col>
      <xdr:colOff>135256</xdr:colOff>
      <xdr:row>2</xdr:row>
      <xdr:rowOff>127635</xdr:rowOff>
    </xdr:from>
    <xdr:to>
      <xdr:col>1</xdr:col>
      <xdr:colOff>464820</xdr:colOff>
      <xdr:row>3</xdr:row>
      <xdr:rowOff>141315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832DD62-6F3B-430D-9400-5C7EF15DFD2B}"/>
            </a:ext>
          </a:extLst>
        </xdr:cNvPr>
        <xdr:cNvSpPr/>
      </xdr:nvSpPr>
      <xdr:spPr>
        <a:xfrm>
          <a:off x="10873669627" y="683447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" pitchFamily="2" charset="-78"/>
              <a:ea typeface="+mn-ea"/>
              <a:cs typeface="Vazirmatn" pitchFamily="2" charset="-78"/>
            </a:rPr>
            <a:t>کاربر :</a:t>
          </a:r>
          <a:endParaRPr lang="en-US" sz="900">
            <a:solidFill>
              <a:schemeClr val="bg1"/>
            </a:solidFill>
            <a:effectLst/>
            <a:latin typeface="Vazirmatn" pitchFamily="2" charset="-78"/>
            <a:cs typeface="Vazirmatn" pitchFamily="2" charset="-78"/>
          </a:endParaRPr>
        </a:p>
        <a:p>
          <a:pPr algn="ctr" rtl="1"/>
          <a:endParaRPr lang="en-US" sz="900">
            <a:solidFill>
              <a:schemeClr val="bg1"/>
            </a:solidFill>
            <a:latin typeface="Vazirmatn" pitchFamily="2" charset="-78"/>
            <a:ea typeface="Tahoma" panose="020B0604030504040204" pitchFamily="34" charset="0"/>
            <a:cs typeface="Vazirmatn" pitchFamily="2" charset="-78"/>
          </a:endParaRPr>
        </a:p>
      </xdr:txBody>
    </xdr:sp>
    <xdr:clientData/>
  </xdr:twoCellAnchor>
  <xdr:oneCellAnchor>
    <xdr:from>
      <xdr:col>1</xdr:col>
      <xdr:colOff>528917</xdr:colOff>
      <xdr:row>1</xdr:row>
      <xdr:rowOff>85730</xdr:rowOff>
    </xdr:from>
    <xdr:ext cx="1080000" cy="288000"/>
    <xdr:sp macro="" textlink="B2">
      <xdr:nvSpPr>
        <xdr:cNvPr id="12" name="Rectangle: Rounded Corners 11">
          <a:extLst>
            <a:ext uri="{FF2B5EF4-FFF2-40B4-BE49-F238E27FC236}">
              <a16:creationId xmlns:a16="http://schemas.microsoft.com/office/drawing/2014/main" id="{EB050AD5-DC42-454A-AAD2-393EB8DE8610}"/>
            </a:ext>
          </a:extLst>
        </xdr:cNvPr>
        <xdr:cNvSpPr/>
      </xdr:nvSpPr>
      <xdr:spPr>
        <a:xfrm>
          <a:off x="10872525530" y="363636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1DDA6E38-EF99-429E-ABD0-17ADED1FFB06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cs typeface="Vazirmatn FD" pitchFamily="2" charset="-78"/>
            </a:rPr>
            <a:pPr algn="ctr" rtl="1"/>
            <a:t>1405/06/06</a:t>
          </a:fld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oneCellAnchor>
    <xdr:from>
      <xdr:col>1</xdr:col>
      <xdr:colOff>528917</xdr:colOff>
      <xdr:row>2</xdr:row>
      <xdr:rowOff>102880</xdr:rowOff>
    </xdr:from>
    <xdr:ext cx="1080000" cy="322280"/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7FB5C6E-3BFA-41CF-9F62-7820A5477D3C}"/>
            </a:ext>
          </a:extLst>
        </xdr:cNvPr>
        <xdr:cNvSpPr/>
      </xdr:nvSpPr>
      <xdr:spPr>
        <a:xfrm>
          <a:off x="10872525530" y="658692"/>
          <a:ext cx="1080000" cy="32228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>
    <xdr:from>
      <xdr:col>7</xdr:col>
      <xdr:colOff>1187327</xdr:colOff>
      <xdr:row>17</xdr:row>
      <xdr:rowOff>235654</xdr:rowOff>
    </xdr:from>
    <xdr:to>
      <xdr:col>9</xdr:col>
      <xdr:colOff>3870</xdr:colOff>
      <xdr:row>18</xdr:row>
      <xdr:rowOff>51038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1174F7-1B19-50EB-A928-719BF2596B4D}"/>
            </a:ext>
          </a:extLst>
        </xdr:cNvPr>
        <xdr:cNvSpPr/>
      </xdr:nvSpPr>
      <xdr:spPr>
        <a:xfrm>
          <a:off x="10875358101" y="8138683"/>
          <a:ext cx="1440000" cy="359669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صفحه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اصلی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oneCell">
    <xdr:from>
      <xdr:col>4</xdr:col>
      <xdr:colOff>108860</xdr:colOff>
      <xdr:row>17</xdr:row>
      <xdr:rowOff>222068</xdr:rowOff>
    </xdr:from>
    <xdr:to>
      <xdr:col>4</xdr:col>
      <xdr:colOff>468860</xdr:colOff>
      <xdr:row>18</xdr:row>
      <xdr:rowOff>41048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976CE29-97AC-714F-EC6B-57E1905BD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81032654" y="8125097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5</xdr:col>
      <xdr:colOff>614272</xdr:colOff>
      <xdr:row>17</xdr:row>
      <xdr:rowOff>228600</xdr:rowOff>
    </xdr:from>
    <xdr:to>
      <xdr:col>5</xdr:col>
      <xdr:colOff>974272</xdr:colOff>
      <xdr:row>18</xdr:row>
      <xdr:rowOff>47580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24D43BDD-ACCC-6ACE-EB62-D7D260AC1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9101213" y="8131629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7</xdr:col>
      <xdr:colOff>387850</xdr:colOff>
      <xdr:row>17</xdr:row>
      <xdr:rowOff>243840</xdr:rowOff>
    </xdr:from>
    <xdr:to>
      <xdr:col>7</xdr:col>
      <xdr:colOff>747850</xdr:colOff>
      <xdr:row>18</xdr:row>
      <xdr:rowOff>62820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BD60851-FA8E-EB6E-1868-3ADAD6C53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7237578" y="8146869"/>
          <a:ext cx="360000" cy="363265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8</xdr:col>
      <xdr:colOff>952818</xdr:colOff>
      <xdr:row>17</xdr:row>
      <xdr:rowOff>220980</xdr:rowOff>
    </xdr:from>
    <xdr:to>
      <xdr:col>8</xdr:col>
      <xdr:colOff>1312818</xdr:colOff>
      <xdr:row>18</xdr:row>
      <xdr:rowOff>39960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3AFF1F42-4EB5-C498-C0E2-A36828777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75475182" y="8124009"/>
          <a:ext cx="360000" cy="363265"/>
        </a:xfrm>
        <a:prstGeom prst="rect">
          <a:avLst/>
        </a:prstGeom>
        <a:effectLst>
          <a:glow rad="12700">
            <a:schemeClr val="tx1">
              <a:alpha val="70000"/>
            </a:schemeClr>
          </a:glow>
        </a:effectLst>
      </xdr:spPr>
    </xdr:pic>
    <xdr:clientData/>
  </xdr:twoCellAnchor>
  <xdr:twoCellAnchor editAs="oneCell">
    <xdr:from>
      <xdr:col>11</xdr:col>
      <xdr:colOff>944880</xdr:colOff>
      <xdr:row>17</xdr:row>
      <xdr:rowOff>281940</xdr:rowOff>
    </xdr:from>
    <xdr:to>
      <xdr:col>11</xdr:col>
      <xdr:colOff>1249680</xdr:colOff>
      <xdr:row>18</xdr:row>
      <xdr:rowOff>45720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97CCE8E1-7B8D-6B9D-2A05-A409BAC8A9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8751220" y="8145780"/>
          <a:ext cx="304800" cy="304800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  <xdr:twoCellAnchor editAs="oneCell">
    <xdr:from>
      <xdr:col>10</xdr:col>
      <xdr:colOff>551040</xdr:colOff>
      <xdr:row>17</xdr:row>
      <xdr:rowOff>203340</xdr:rowOff>
    </xdr:from>
    <xdr:to>
      <xdr:col>11</xdr:col>
      <xdr:colOff>185280</xdr:colOff>
      <xdr:row>17</xdr:row>
      <xdr:rowOff>508140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BE9DC023-8FC6-56B7-2113-F0A235B78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9815620" y="8067180"/>
          <a:ext cx="304800" cy="304800"/>
        </a:xfrm>
        <a:prstGeom prst="rect">
          <a:avLst/>
        </a:prstGeom>
        <a:effectLst>
          <a:glow rad="12700">
            <a:schemeClr val="tx1">
              <a:alpha val="50000"/>
            </a:schemeClr>
          </a:glo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15240</xdr:rowOff>
    </xdr:from>
    <xdr:to>
      <xdr:col>10</xdr:col>
      <xdr:colOff>175260</xdr:colOff>
      <xdr:row>4</xdr:row>
      <xdr:rowOff>195993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770236-D535-4C61-83DE-AB2213DFA58A}"/>
            </a:ext>
          </a:extLst>
        </xdr:cNvPr>
        <xdr:cNvSpPr/>
      </xdr:nvSpPr>
      <xdr:spPr>
        <a:xfrm>
          <a:off x="10979802780" y="15240"/>
          <a:ext cx="9144000" cy="973233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 FD" pitchFamily="2" charset="-78"/>
              <a:cs typeface="Vazirmatn FD" pitchFamily="2" charset="-78"/>
            </a:rPr>
            <a:t>مدیریت اردوها </a:t>
          </a:r>
          <a:endParaRPr lang="en-US" sz="1800" b="1"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latin typeface="Vazirmatn FD" pitchFamily="2" charset="-78"/>
              <a:cs typeface="Vazirmatn FD" pitchFamily="2" charset="-78"/>
            </a:rPr>
            <a:t>Camp Management</a:t>
          </a:r>
          <a:endParaRPr lang="fa-IR" sz="11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 editAs="absolute">
    <xdr:from>
      <xdr:col>6</xdr:col>
      <xdr:colOff>830141</xdr:colOff>
      <xdr:row>0</xdr:row>
      <xdr:rowOff>95925</xdr:rowOff>
    </xdr:from>
    <xdr:to>
      <xdr:col>9</xdr:col>
      <xdr:colOff>147327</xdr:colOff>
      <xdr:row>4</xdr:row>
      <xdr:rowOff>89282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BC07D7A-E196-411C-8B20-215BD3B2DA32}"/>
            </a:ext>
          </a:extLst>
        </xdr:cNvPr>
        <xdr:cNvSpPr/>
      </xdr:nvSpPr>
      <xdr:spPr>
        <a:xfrm>
          <a:off x="10979503053" y="95925"/>
          <a:ext cx="1808926" cy="78583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سیستم</a:t>
          </a:r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تیم ملی فوتبال ساحلی</a:t>
          </a:r>
          <a:endParaRPr lang="en-US" sz="1000"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twoCellAnchor editAs="oneCell">
    <xdr:from>
      <xdr:col>9</xdr:col>
      <xdr:colOff>163095</xdr:colOff>
      <xdr:row>1</xdr:row>
      <xdr:rowOff>35345</xdr:rowOff>
    </xdr:from>
    <xdr:to>
      <xdr:col>10</xdr:col>
      <xdr:colOff>1253</xdr:colOff>
      <xdr:row>3</xdr:row>
      <xdr:rowOff>85062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3805295-A467-4F18-AC00-750E66EF9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9976787" y="233465"/>
          <a:ext cx="653498" cy="445957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97138</xdr:colOff>
      <xdr:row>0</xdr:row>
      <xdr:rowOff>45720</xdr:rowOff>
    </xdr:from>
    <xdr:to>
      <xdr:col>1</xdr:col>
      <xdr:colOff>53770</xdr:colOff>
      <xdr:row>1</xdr:row>
      <xdr:rowOff>129661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2B4640E-1730-4312-933C-15FCAF266603}"/>
            </a:ext>
          </a:extLst>
        </xdr:cNvPr>
        <xdr:cNvSpPr/>
      </xdr:nvSpPr>
      <xdr:spPr>
        <a:xfrm>
          <a:off x="10985364950" y="45720"/>
          <a:ext cx="992952" cy="282061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90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تاریخ</a:t>
          </a:r>
          <a:r>
            <a:rPr lang="fa-IR" sz="900" baseline="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:</a:t>
          </a:r>
        </a:p>
      </xdr:txBody>
    </xdr:sp>
    <xdr:clientData/>
  </xdr:twoCellAnchor>
  <xdr:oneCellAnchor>
    <xdr:from>
      <xdr:col>1</xdr:col>
      <xdr:colOff>0</xdr:colOff>
      <xdr:row>0</xdr:row>
      <xdr:rowOff>45720</xdr:rowOff>
    </xdr:from>
    <xdr:ext cx="1080000" cy="288000"/>
    <xdr:sp macro="" textlink="TodayDateShamsi">
      <xdr:nvSpPr>
        <xdr:cNvPr id="7" name="Rectangle: Rounded Corners 6">
          <a:extLst>
            <a:ext uri="{FF2B5EF4-FFF2-40B4-BE49-F238E27FC236}">
              <a16:creationId xmlns:a16="http://schemas.microsoft.com/office/drawing/2014/main" id="{3C524FCA-F48A-45F7-BD0D-6FCAD613CE9D}"/>
            </a:ext>
          </a:extLst>
        </xdr:cNvPr>
        <xdr:cNvSpPr/>
      </xdr:nvSpPr>
      <xdr:spPr>
        <a:xfrm>
          <a:off x="10984220853" y="45720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5E282964-81EA-4973-819A-B415AA853AA3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1405/05/19</a:t>
          </a:fld>
          <a:endParaRPr lang="en-US" sz="1100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0</xdr:col>
      <xdr:colOff>97138</xdr:colOff>
      <xdr:row>1</xdr:row>
      <xdr:rowOff>150271</xdr:rowOff>
    </xdr:from>
    <xdr:to>
      <xdr:col>1</xdr:col>
      <xdr:colOff>53770</xdr:colOff>
      <xdr:row>3</xdr:row>
      <xdr:rowOff>45617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EC444C5-7A79-4008-95AD-E30720A6F3F0}"/>
            </a:ext>
          </a:extLst>
        </xdr:cNvPr>
        <xdr:cNvSpPr/>
      </xdr:nvSpPr>
      <xdr:spPr>
        <a:xfrm>
          <a:off x="10985364950" y="348391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آخرین بروزرسانی :</a:t>
          </a:r>
        </a:p>
      </xdr:txBody>
    </xdr:sp>
    <xdr:clientData/>
  </xdr:twoCellAnchor>
  <xdr:twoCellAnchor editAs="absolute">
    <xdr:from>
      <xdr:col>0</xdr:col>
      <xdr:colOff>97138</xdr:colOff>
      <xdr:row>3</xdr:row>
      <xdr:rowOff>66227</xdr:rowOff>
    </xdr:from>
    <xdr:to>
      <xdr:col>1</xdr:col>
      <xdr:colOff>53770</xdr:colOff>
      <xdr:row>4</xdr:row>
      <xdr:rowOff>159693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9A37D1C-5E37-46BD-A0FE-22E46E2D2C3B}"/>
            </a:ext>
          </a:extLst>
        </xdr:cNvPr>
        <xdr:cNvSpPr/>
      </xdr:nvSpPr>
      <xdr:spPr>
        <a:xfrm>
          <a:off x="10985364950" y="660587"/>
          <a:ext cx="992952" cy="291586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کاربر :</a:t>
          </a:r>
          <a:endParaRPr lang="en-US" sz="900">
            <a:solidFill>
              <a:schemeClr val="bg1"/>
            </a:solidFill>
            <a:effectLst/>
            <a:latin typeface="Vazirmatn FD" pitchFamily="2" charset="-78"/>
            <a:cs typeface="Vazirmatn FD" pitchFamily="2" charset="-78"/>
          </a:endParaRPr>
        </a:p>
        <a:p>
          <a:pPr algn="ctr" rtl="1"/>
          <a:endParaRPr lang="en-US" sz="900">
            <a:solidFill>
              <a:schemeClr val="bg1"/>
            </a:solidFill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oneCellAnchor>
    <xdr:from>
      <xdr:col>1</xdr:col>
      <xdr:colOff>0</xdr:colOff>
      <xdr:row>1</xdr:row>
      <xdr:rowOff>142656</xdr:rowOff>
    </xdr:from>
    <xdr:ext cx="1080000" cy="288000"/>
    <xdr:sp macro="" textlink="LastUpdateDate">
      <xdr:nvSpPr>
        <xdr:cNvPr id="10" name="Rectangle: Rounded Corners 9">
          <a:extLst>
            <a:ext uri="{FF2B5EF4-FFF2-40B4-BE49-F238E27FC236}">
              <a16:creationId xmlns:a16="http://schemas.microsoft.com/office/drawing/2014/main" id="{6A55569B-78D3-489C-96DD-19DF21921E0E}"/>
            </a:ext>
          </a:extLst>
        </xdr:cNvPr>
        <xdr:cNvSpPr/>
      </xdr:nvSpPr>
      <xdr:spPr>
        <a:xfrm>
          <a:off x="10984220853" y="340776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BA95D298-B64F-4D13-BA78-626A2B3E5702}" type="TxLink">
            <a:rPr lang="en-US" sz="120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1405/06/06</a:t>
          </a:fld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oneCellAnchor>
    <xdr:from>
      <xdr:col>1</xdr:col>
      <xdr:colOff>0</xdr:colOff>
      <xdr:row>3</xdr:row>
      <xdr:rowOff>41472</xdr:rowOff>
    </xdr:from>
    <xdr:ext cx="1080000" cy="322280"/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C425120-F1F5-4A4C-96E9-A93DBC564934}"/>
            </a:ext>
          </a:extLst>
        </xdr:cNvPr>
        <xdr:cNvSpPr/>
      </xdr:nvSpPr>
      <xdr:spPr>
        <a:xfrm>
          <a:off x="11018659049" y="640562"/>
          <a:ext cx="1080000" cy="32228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endParaRPr lang="fa-IR" sz="120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>
    <xdr:from>
      <xdr:col>2</xdr:col>
      <xdr:colOff>0</xdr:colOff>
      <xdr:row>5</xdr:row>
      <xdr:rowOff>45720</xdr:rowOff>
    </xdr:from>
    <xdr:to>
      <xdr:col>7</xdr:col>
      <xdr:colOff>502380</xdr:colOff>
      <xdr:row>7</xdr:row>
      <xdr:rowOff>129540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B193EE3-41F4-490B-A46E-4A2861258E85}"/>
            </a:ext>
          </a:extLst>
        </xdr:cNvPr>
        <xdr:cNvSpPr/>
      </xdr:nvSpPr>
      <xdr:spPr>
        <a:xfrm>
          <a:off x="10980496740" y="1036320"/>
          <a:ext cx="4502880" cy="59436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1100" b="0">
              <a:latin typeface="Vazir Black FD" pitchFamily="2" charset="-78"/>
              <a:cs typeface="Vazir Black FD" pitchFamily="2" charset="-78"/>
            </a:rPr>
            <a:t>انتخاب اردو :</a:t>
          </a:r>
          <a:endParaRPr lang="en-US" sz="1100" b="0">
            <a:latin typeface="Vazir Black FD" pitchFamily="2" charset="-78"/>
            <a:cs typeface="Vazir Black FD" pitchFamily="2" charset="-78"/>
          </a:endParaRPr>
        </a:p>
      </xdr:txBody>
    </xdr:sp>
    <xdr:clientData/>
  </xdr:twoCellAnchor>
  <xdr:twoCellAnchor>
    <xdr:from>
      <xdr:col>1</xdr:col>
      <xdr:colOff>816600</xdr:colOff>
      <xdr:row>11</xdr:row>
      <xdr:rowOff>221968</xdr:rowOff>
    </xdr:from>
    <xdr:to>
      <xdr:col>8</xdr:col>
      <xdr:colOff>22860</xdr:colOff>
      <xdr:row>14</xdr:row>
      <xdr:rowOff>16090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4E28B48A-C0B6-733B-5770-D6B3F18935FF}"/>
            </a:ext>
          </a:extLst>
        </xdr:cNvPr>
        <xdr:cNvSpPr/>
      </xdr:nvSpPr>
      <xdr:spPr>
        <a:xfrm>
          <a:off x="10962109140" y="2892281"/>
          <a:ext cx="5514294" cy="576000"/>
        </a:xfrm>
        <a:prstGeom prst="roundRect">
          <a:avLst/>
        </a:prstGeom>
        <a:noFill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3</xdr:col>
      <xdr:colOff>777240</xdr:colOff>
      <xdr:row>14</xdr:row>
      <xdr:rowOff>129540</xdr:rowOff>
    </xdr:from>
    <xdr:to>
      <xdr:col>5</xdr:col>
      <xdr:colOff>574303</xdr:colOff>
      <xdr:row>16</xdr:row>
      <xdr:rowOff>102245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DA16E0B1-4155-EF85-FEC3-3990987AA748}"/>
            </a:ext>
          </a:extLst>
        </xdr:cNvPr>
        <xdr:cNvGrpSpPr/>
      </xdr:nvGrpSpPr>
      <xdr:grpSpPr>
        <a:xfrm>
          <a:off x="11057058068" y="3384369"/>
          <a:ext cx="1451692" cy="364590"/>
          <a:chOff x="10964082236" y="3104653"/>
          <a:chExt cx="1453585" cy="370270"/>
        </a:xfrm>
      </xdr:grpSpPr>
      <xdr:sp macro="[0]!AddCampPlayer" textlink="">
        <xdr:nvSpPr>
          <xdr:cNvPr id="2" name="btnAddCampPlayer">
            <a:extLst>
              <a:ext uri="{FF2B5EF4-FFF2-40B4-BE49-F238E27FC236}">
                <a16:creationId xmlns:a16="http://schemas.microsoft.com/office/drawing/2014/main" id="{3EB5A3C5-6A8F-44AD-ACD0-F0B69D83E15E}"/>
              </a:ext>
            </a:extLst>
          </xdr:cNvPr>
          <xdr:cNvSpPr/>
        </xdr:nvSpPr>
        <xdr:spPr>
          <a:xfrm>
            <a:off x="10964082236" y="3111276"/>
            <a:ext cx="1453585" cy="362177"/>
          </a:xfrm>
          <a:prstGeom prst="roundRect">
            <a:avLst/>
          </a:prstGeom>
          <a:solidFill>
            <a:schemeClr val="tx2">
              <a:lumMod val="25000"/>
              <a:lumOff val="75000"/>
            </a:schemeClr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 rtl="1"/>
            <a:r>
              <a:rPr lang="fa-IR" sz="1100">
                <a:solidFill>
                  <a:sysClr val="windowText" lastClr="000000"/>
                </a:solidFill>
                <a:latin typeface="Vazirmatn" pitchFamily="2" charset="-78"/>
                <a:cs typeface="Vazirmatn" pitchFamily="2" charset="-78"/>
              </a:rPr>
              <a:t>افزودن به اردو</a:t>
            </a:r>
            <a:endParaRPr lang="en-US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endParaRPr>
          </a:p>
        </xdr:txBody>
      </xdr:sp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A98DE17F-81FD-4F57-BB9D-D97827224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64090799" y="3104653"/>
            <a:ext cx="360000" cy="370270"/>
          </a:xfrm>
          <a:prstGeom prst="rect">
            <a:avLst/>
          </a:prstGeom>
          <a:effectLst>
            <a:glow rad="12700">
              <a:schemeClr val="tx1">
                <a:alpha val="50000"/>
              </a:schemeClr>
            </a:glow>
          </a:effectLst>
        </xdr:spPr>
      </xdr:pic>
    </xdr:grpSp>
    <xdr:clientData/>
  </xdr:twoCellAnchor>
  <xdr:twoCellAnchor editAs="absolute">
    <xdr:from>
      <xdr:col>10</xdr:col>
      <xdr:colOff>112465</xdr:colOff>
      <xdr:row>15</xdr:row>
      <xdr:rowOff>187187</xdr:rowOff>
    </xdr:from>
    <xdr:to>
      <xdr:col>12</xdr:col>
      <xdr:colOff>66565</xdr:colOff>
      <xdr:row>17</xdr:row>
      <xdr:rowOff>152400</xdr:rowOff>
    </xdr:to>
    <xdr:sp macro="[0]!EditCampPlayer" textlink="">
      <xdr:nvSpPr>
        <xdr:cNvPr id="14" name="btnEditCampPlayer">
          <a:extLst>
            <a:ext uri="{FF2B5EF4-FFF2-40B4-BE49-F238E27FC236}">
              <a16:creationId xmlns:a16="http://schemas.microsoft.com/office/drawing/2014/main" id="{FE0121CD-0331-4842-BE37-BEE2BDA60895}"/>
            </a:ext>
          </a:extLst>
        </xdr:cNvPr>
        <xdr:cNvSpPr/>
      </xdr:nvSpPr>
      <xdr:spPr>
        <a:xfrm>
          <a:off x="10980642995" y="364998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10</xdr:col>
      <xdr:colOff>104845</xdr:colOff>
      <xdr:row>18</xdr:row>
      <xdr:rowOff>223631</xdr:rowOff>
    </xdr:from>
    <xdr:to>
      <xdr:col>12</xdr:col>
      <xdr:colOff>58945</xdr:colOff>
      <xdr:row>20</xdr:row>
      <xdr:rowOff>107011</xdr:rowOff>
    </xdr:to>
    <xdr:sp macro="[0]!DeleteCampPlayer" textlink="">
      <xdr:nvSpPr>
        <xdr:cNvPr id="17" name="btnEditCampPlayer">
          <a:extLst>
            <a:ext uri="{FF2B5EF4-FFF2-40B4-BE49-F238E27FC236}">
              <a16:creationId xmlns:a16="http://schemas.microsoft.com/office/drawing/2014/main" id="{77FC7CF2-787D-EFA1-FF60-8D5FEFAB210C}"/>
            </a:ext>
          </a:extLst>
        </xdr:cNvPr>
        <xdr:cNvSpPr/>
      </xdr:nvSpPr>
      <xdr:spPr>
        <a:xfrm>
          <a:off x="10980650615" y="42824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حذف 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19878</xdr:colOff>
      <xdr:row>0</xdr:row>
      <xdr:rowOff>66260</xdr:rowOff>
    </xdr:from>
    <xdr:to>
      <xdr:col>9</xdr:col>
      <xdr:colOff>662609</xdr:colOff>
      <xdr:row>4</xdr:row>
      <xdr:rowOff>87986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A8AE064-C5DB-45E9-BF38-6026BC642772}"/>
            </a:ext>
          </a:extLst>
        </xdr:cNvPr>
        <xdr:cNvSpPr/>
      </xdr:nvSpPr>
      <xdr:spPr>
        <a:xfrm>
          <a:off x="10959932139" y="66260"/>
          <a:ext cx="8786192" cy="975883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 FD" pitchFamily="2" charset="-78"/>
              <a:cs typeface="Vazirmatn FD" pitchFamily="2" charset="-78"/>
            </a:rPr>
            <a:t>مدیریت ارزیابی جسمانی </a:t>
          </a:r>
          <a:endParaRPr lang="en-US" sz="1800" b="1"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latin typeface="Vazirmatn FD" pitchFamily="2" charset="-78"/>
              <a:cs typeface="Vazirmatn FD" pitchFamily="2" charset="-78"/>
            </a:rPr>
            <a:t>Fitness Management</a:t>
          </a:r>
          <a:endParaRPr lang="fa-IR" sz="11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 editAs="absolute">
    <xdr:from>
      <xdr:col>6</xdr:col>
      <xdr:colOff>333189</xdr:colOff>
      <xdr:row>0</xdr:row>
      <xdr:rowOff>146945</xdr:rowOff>
    </xdr:from>
    <xdr:to>
      <xdr:col>8</xdr:col>
      <xdr:colOff>273228</xdr:colOff>
      <xdr:row>3</xdr:row>
      <xdr:rowOff>219815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1D3BD09-1044-4BC1-81F6-76E5590497FC}"/>
            </a:ext>
          </a:extLst>
        </xdr:cNvPr>
        <xdr:cNvSpPr/>
      </xdr:nvSpPr>
      <xdr:spPr>
        <a:xfrm>
          <a:off x="10960990755" y="146945"/>
          <a:ext cx="1808595" cy="78848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سیستم</a:t>
          </a:r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تیم ملی فوتبال ساحلی</a:t>
          </a:r>
          <a:endParaRPr lang="en-US" sz="1000"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twoCellAnchor editAs="oneCell">
    <xdr:from>
      <xdr:col>8</xdr:col>
      <xdr:colOff>288996</xdr:colOff>
      <xdr:row>1</xdr:row>
      <xdr:rowOff>46609</xdr:rowOff>
    </xdr:from>
    <xdr:to>
      <xdr:col>9</xdr:col>
      <xdr:colOff>272928</xdr:colOff>
      <xdr:row>3</xdr:row>
      <xdr:rowOff>16813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4DC28D2-6540-474D-85C2-A51782818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0321820" y="285148"/>
          <a:ext cx="653167" cy="4472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absolute">
    <xdr:from>
      <xdr:col>0</xdr:col>
      <xdr:colOff>117016</xdr:colOff>
      <xdr:row>0</xdr:row>
      <xdr:rowOff>96740</xdr:rowOff>
    </xdr:from>
    <xdr:to>
      <xdr:col>1</xdr:col>
      <xdr:colOff>438083</xdr:colOff>
      <xdr:row>1</xdr:row>
      <xdr:rowOff>140925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7FA8A0-0ADC-4082-B0BC-2EA290C7C1E2}"/>
            </a:ext>
          </a:extLst>
        </xdr:cNvPr>
        <xdr:cNvSpPr/>
      </xdr:nvSpPr>
      <xdr:spPr>
        <a:xfrm>
          <a:off x="10966663482" y="96740"/>
          <a:ext cx="990302" cy="282724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90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تاریخ</a:t>
          </a:r>
          <a:r>
            <a:rPr lang="fa-IR" sz="900" baseline="0">
              <a:solidFill>
                <a:schemeClr val="bg1"/>
              </a:solidFill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:</a:t>
          </a:r>
        </a:p>
      </xdr:txBody>
    </xdr:sp>
    <xdr:clientData/>
  </xdr:twoCellAnchor>
  <xdr:oneCellAnchor>
    <xdr:from>
      <xdr:col>1</xdr:col>
      <xdr:colOff>384313</xdr:colOff>
      <xdr:row>0</xdr:row>
      <xdr:rowOff>96740</xdr:rowOff>
    </xdr:from>
    <xdr:ext cx="1080000" cy="288000"/>
    <xdr:sp macro="" textlink="TodayDateShamsi">
      <xdr:nvSpPr>
        <xdr:cNvPr id="6" name="Rectangle: Rounded Corners 5">
          <a:extLst>
            <a:ext uri="{FF2B5EF4-FFF2-40B4-BE49-F238E27FC236}">
              <a16:creationId xmlns:a16="http://schemas.microsoft.com/office/drawing/2014/main" id="{999584E1-5857-4132-96A9-53C59B1D2BEF}"/>
            </a:ext>
          </a:extLst>
        </xdr:cNvPr>
        <xdr:cNvSpPr/>
      </xdr:nvSpPr>
      <xdr:spPr>
        <a:xfrm>
          <a:off x="10965637252" y="96740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5E282964-81EA-4973-819A-B415AA853AA3}" type="TxLink">
            <a:rPr lang="en-US" sz="105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1405/05/19</a:t>
          </a:fld>
          <a:endParaRPr lang="en-US" sz="1000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0</xdr:col>
      <xdr:colOff>117016</xdr:colOff>
      <xdr:row>1</xdr:row>
      <xdr:rowOff>161535</xdr:rowOff>
    </xdr:from>
    <xdr:to>
      <xdr:col>1</xdr:col>
      <xdr:colOff>438083</xdr:colOff>
      <xdr:row>2</xdr:row>
      <xdr:rowOff>215907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F986F49-0ED8-4665-9D6B-F9BC87BCB623}"/>
            </a:ext>
          </a:extLst>
        </xdr:cNvPr>
        <xdr:cNvSpPr/>
      </xdr:nvSpPr>
      <xdr:spPr>
        <a:xfrm>
          <a:off x="10966663482" y="400074"/>
          <a:ext cx="990302" cy="292911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آخرین بروزرسانی :</a:t>
          </a:r>
        </a:p>
      </xdr:txBody>
    </xdr:sp>
    <xdr:clientData/>
  </xdr:twoCellAnchor>
  <xdr:twoCellAnchor editAs="absolute">
    <xdr:from>
      <xdr:col>0</xdr:col>
      <xdr:colOff>117016</xdr:colOff>
      <xdr:row>2</xdr:row>
      <xdr:rowOff>236517</xdr:rowOff>
    </xdr:from>
    <xdr:to>
      <xdr:col>1</xdr:col>
      <xdr:colOff>438083</xdr:colOff>
      <xdr:row>4</xdr:row>
      <xdr:rowOff>51686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A88CD2B7-48AA-49E5-8656-C759FF413B46}"/>
            </a:ext>
          </a:extLst>
        </xdr:cNvPr>
        <xdr:cNvSpPr/>
      </xdr:nvSpPr>
      <xdr:spPr>
        <a:xfrm>
          <a:off x="10966663482" y="713595"/>
          <a:ext cx="990302" cy="292248"/>
        </a:xfrm>
        <a:prstGeom prst="roundRect">
          <a:avLst>
            <a:gd name="adj" fmla="val 10654"/>
          </a:avLst>
        </a:prstGeom>
        <a:solidFill>
          <a:srgbClr val="002060"/>
        </a:solidFill>
        <a:ln>
          <a:noFill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rtl="1"/>
          <a:r>
            <a:rPr lang="fa-IR" sz="900" baseline="0">
              <a:solidFill>
                <a:schemeClr val="bg1"/>
              </a:solidFill>
              <a:effectLst/>
              <a:latin typeface="Vazirmatn FD" pitchFamily="2" charset="-78"/>
              <a:ea typeface="+mn-ea"/>
              <a:cs typeface="Vazirmatn FD" pitchFamily="2" charset="-78"/>
            </a:rPr>
            <a:t>کاربر :</a:t>
          </a:r>
          <a:endParaRPr lang="en-US" sz="900">
            <a:solidFill>
              <a:schemeClr val="bg1"/>
            </a:solidFill>
            <a:effectLst/>
            <a:latin typeface="Vazirmatn FD" pitchFamily="2" charset="-78"/>
            <a:cs typeface="Vazirmatn FD" pitchFamily="2" charset="-78"/>
          </a:endParaRPr>
        </a:p>
        <a:p>
          <a:pPr algn="ctr" rtl="1"/>
          <a:endParaRPr lang="en-US" sz="900">
            <a:solidFill>
              <a:schemeClr val="bg1"/>
            </a:solidFill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oneCellAnchor>
    <xdr:from>
      <xdr:col>1</xdr:col>
      <xdr:colOff>384313</xdr:colOff>
      <xdr:row>1</xdr:row>
      <xdr:rowOff>153920</xdr:rowOff>
    </xdr:from>
    <xdr:ext cx="1080000" cy="288000"/>
    <xdr:sp macro="" textlink="LastUpdateDate">
      <xdr:nvSpPr>
        <xdr:cNvPr id="9" name="Rectangle: Rounded Corners 8">
          <a:extLst>
            <a:ext uri="{FF2B5EF4-FFF2-40B4-BE49-F238E27FC236}">
              <a16:creationId xmlns:a16="http://schemas.microsoft.com/office/drawing/2014/main" id="{B94D91B1-43CB-45B5-A296-CA44E4715EDF}"/>
            </a:ext>
          </a:extLst>
        </xdr:cNvPr>
        <xdr:cNvSpPr/>
      </xdr:nvSpPr>
      <xdr:spPr>
        <a:xfrm>
          <a:off x="10965637252" y="392459"/>
          <a:ext cx="1080000" cy="28800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fld id="{4F1D84C6-2CE6-419B-AE99-1A060CDD12CD}" type="TxLink">
            <a:rPr lang="en-US" sz="1050" b="0" i="0" u="none" strike="noStrike" baseline="0">
              <a:solidFill>
                <a:schemeClr val="bg1"/>
              </a:solidFill>
              <a:latin typeface="Vazirmatn FD" pitchFamily="2" charset="-78"/>
              <a:ea typeface="Calibri"/>
              <a:cs typeface="Vazirmatn FD" pitchFamily="2" charset="-78"/>
            </a:rPr>
            <a:pPr algn="ctr" rtl="1"/>
            <a:t>1405/06/06</a:t>
          </a:fld>
          <a:endParaRPr lang="fa-IR" sz="105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oneCellAnchor>
    <xdr:from>
      <xdr:col>1</xdr:col>
      <xdr:colOff>384313</xdr:colOff>
      <xdr:row>2</xdr:row>
      <xdr:rowOff>211762</xdr:rowOff>
    </xdr:from>
    <xdr:ext cx="1080000" cy="322280"/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85A483C-C661-4FF9-91B8-E24DD1F9E86F}"/>
            </a:ext>
          </a:extLst>
        </xdr:cNvPr>
        <xdr:cNvSpPr/>
      </xdr:nvSpPr>
      <xdr:spPr>
        <a:xfrm>
          <a:off x="10965637252" y="688840"/>
          <a:ext cx="1080000" cy="322280"/>
        </a:xfrm>
        <a:prstGeom prst="roundRect">
          <a:avLst/>
        </a:prstGeom>
        <a:solidFill>
          <a:srgbClr val="002060"/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>
          <a:noAutofit/>
        </a:bodyPr>
        <a:lstStyle/>
        <a:p>
          <a:pPr algn="ctr" rtl="1"/>
          <a:endParaRPr lang="fa-IR" sz="1050" b="0" i="0" u="none" strike="noStrike" baseline="0">
            <a:solidFill>
              <a:schemeClr val="bg1"/>
            </a:solidFill>
            <a:latin typeface="Vazirmatn FD" pitchFamily="2" charset="-78"/>
            <a:cs typeface="Vazirmatn FD" pitchFamily="2" charset="-78"/>
          </a:endParaRPr>
        </a:p>
      </xdr:txBody>
    </xdr:sp>
    <xdr:clientData/>
  </xdr:oneCellAnchor>
  <xdr:twoCellAnchor editAs="absolute">
    <xdr:from>
      <xdr:col>2</xdr:col>
      <xdr:colOff>39766</xdr:colOff>
      <xdr:row>19</xdr:row>
      <xdr:rowOff>120926</xdr:rowOff>
    </xdr:from>
    <xdr:to>
      <xdr:col>3</xdr:col>
      <xdr:colOff>810532</xdr:colOff>
      <xdr:row>21</xdr:row>
      <xdr:rowOff>1988</xdr:rowOff>
    </xdr:to>
    <xdr:sp macro="[0]!SaveFitness" textlink="">
      <xdr:nvSpPr>
        <xdr:cNvPr id="11" name="btnSaveFitness">
          <a:extLst>
            <a:ext uri="{FF2B5EF4-FFF2-40B4-BE49-F238E27FC236}">
              <a16:creationId xmlns:a16="http://schemas.microsoft.com/office/drawing/2014/main" id="{5F0688F2-421E-4765-92BB-0208092C163E}"/>
            </a:ext>
          </a:extLst>
        </xdr:cNvPr>
        <xdr:cNvSpPr/>
      </xdr:nvSpPr>
      <xdr:spPr>
        <a:xfrm>
          <a:off x="10965389886" y="4699552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ثبت / ذخیره ارزیابی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3</xdr:col>
      <xdr:colOff>1136384</xdr:colOff>
      <xdr:row>19</xdr:row>
      <xdr:rowOff>120926</xdr:rowOff>
    </xdr:from>
    <xdr:to>
      <xdr:col>5</xdr:col>
      <xdr:colOff>707827</xdr:colOff>
      <xdr:row>21</xdr:row>
      <xdr:rowOff>1988</xdr:rowOff>
    </xdr:to>
    <xdr:sp macro="[0]!ClearFitnessForm" textlink="">
      <xdr:nvSpPr>
        <xdr:cNvPr id="12" name="btnClearFitness">
          <a:extLst>
            <a:ext uri="{FF2B5EF4-FFF2-40B4-BE49-F238E27FC236}">
              <a16:creationId xmlns:a16="http://schemas.microsoft.com/office/drawing/2014/main" id="{CAA63AAA-89C8-4350-A671-0B37B7886413}"/>
            </a:ext>
          </a:extLst>
        </xdr:cNvPr>
        <xdr:cNvSpPr/>
      </xdr:nvSpPr>
      <xdr:spPr>
        <a:xfrm>
          <a:off x="10963624034" y="4699552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پاک کردن فرم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3</xdr:col>
      <xdr:colOff>1159566</xdr:colOff>
      <xdr:row>4</xdr:row>
      <xdr:rowOff>125895</xdr:rowOff>
    </xdr:from>
    <xdr:to>
      <xdr:col>5</xdr:col>
      <xdr:colOff>1099931</xdr:colOff>
      <xdr:row>5</xdr:row>
      <xdr:rowOff>200974</xdr:rowOff>
    </xdr:to>
    <xdr:sp macro="" textlink="$F$6">
      <xdr:nvSpPr>
        <xdr:cNvPr id="14" name="Flowchart: Terminator 13">
          <a:extLst>
            <a:ext uri="{FF2B5EF4-FFF2-40B4-BE49-F238E27FC236}">
              <a16:creationId xmlns:a16="http://schemas.microsoft.com/office/drawing/2014/main" id="{FE31E8D3-EDD1-9C42-7927-D592A452A74E}"/>
            </a:ext>
          </a:extLst>
        </xdr:cNvPr>
        <xdr:cNvSpPr/>
      </xdr:nvSpPr>
      <xdr:spPr>
        <a:xfrm>
          <a:off x="10963231930" y="1080052"/>
          <a:ext cx="1808922" cy="360000"/>
        </a:xfrm>
        <a:prstGeom prst="flowChartTerminator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fld id="{6AACAF02-9BBD-4AD9-9337-36542234ECF6}" type="TxLink">
            <a:rPr lang="fa-IR" sz="1000" b="1" i="0" u="none" strike="noStrike">
              <a:solidFill>
                <a:srgbClr val="FFFF00"/>
              </a:solidFill>
              <a:latin typeface="Vazirmatn FD"/>
              <a:cs typeface="Vazirmatn FD"/>
            </a:rPr>
            <a:pPr algn="ctr" rtl="1"/>
            <a:t> </a:t>
          </a:fld>
          <a:endParaRPr lang="en-US" sz="1100" b="1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5</xdr:col>
      <xdr:colOff>1033679</xdr:colOff>
      <xdr:row>19</xdr:row>
      <xdr:rowOff>120926</xdr:rowOff>
    </xdr:from>
    <xdr:to>
      <xdr:col>7</xdr:col>
      <xdr:colOff>605123</xdr:colOff>
      <xdr:row>21</xdr:row>
      <xdr:rowOff>1988</xdr:rowOff>
    </xdr:to>
    <xdr:sp macro="[0]!DeleteFitness" textlink="">
      <xdr:nvSpPr>
        <xdr:cNvPr id="15" name="Btn">
          <a:extLst>
            <a:ext uri="{FF2B5EF4-FFF2-40B4-BE49-F238E27FC236}">
              <a16:creationId xmlns:a16="http://schemas.microsoft.com/office/drawing/2014/main" id="{1C8F031E-0B85-4C6B-8B6B-EC8A23417BAA}"/>
            </a:ext>
          </a:extLst>
        </xdr:cNvPr>
        <xdr:cNvSpPr/>
      </xdr:nvSpPr>
      <xdr:spPr>
        <a:xfrm>
          <a:off x="10961858182" y="4699552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حذف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ارزیابی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448320</xdr:colOff>
      <xdr:row>8</xdr:row>
      <xdr:rowOff>83820</xdr:rowOff>
    </xdr:from>
    <xdr:to>
      <xdr:col>2</xdr:col>
      <xdr:colOff>240600</xdr:colOff>
      <xdr:row>16</xdr:row>
      <xdr:rowOff>31260</xdr:rowOff>
    </xdr:to>
    <xdr:pic>
      <xdr:nvPicPr>
        <xdr:cNvPr id="15" name="PlayerPhotoImage">
          <a:extLst>
            <a:ext uri="{FF2B5EF4-FFF2-40B4-BE49-F238E27FC236}">
              <a16:creationId xmlns:a16="http://schemas.microsoft.com/office/drawing/2014/main" id="{B40DAB9D-2300-47F4-B6B9-31C5C680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64622100" y="2186940"/>
          <a:ext cx="2124000" cy="2142000"/>
        </a:xfrm>
        <a:prstGeom prst="rect">
          <a:avLst/>
        </a:prstGeom>
      </xdr:spPr>
    </xdr:pic>
    <xdr:clientData/>
  </xdr:twoCellAnchor>
  <xdr:twoCellAnchor>
    <xdr:from>
      <xdr:col>0</xdr:col>
      <xdr:colOff>448320</xdr:colOff>
      <xdr:row>7</xdr:row>
      <xdr:rowOff>182880</xdr:rowOff>
    </xdr:from>
    <xdr:to>
      <xdr:col>2</xdr:col>
      <xdr:colOff>240600</xdr:colOff>
      <xdr:row>16</xdr:row>
      <xdr:rowOff>198900</xdr:rowOff>
    </xdr:to>
    <xdr:sp macro="" textlink="">
      <xdr:nvSpPr>
        <xdr:cNvPr id="39" name="PlayerPhoto">
          <a:extLst>
            <a:ext uri="{FF2B5EF4-FFF2-40B4-BE49-F238E27FC236}">
              <a16:creationId xmlns:a16="http://schemas.microsoft.com/office/drawing/2014/main" id="{17A15E3F-EE11-4EFD-9CD9-286BE2C8A9D7}"/>
            </a:ext>
          </a:extLst>
        </xdr:cNvPr>
        <xdr:cNvSpPr/>
      </xdr:nvSpPr>
      <xdr:spPr>
        <a:xfrm>
          <a:off x="10864622100" y="1630680"/>
          <a:ext cx="2124000" cy="2142000"/>
        </a:xfrm>
        <a:prstGeom prst="roundRect">
          <a:avLst>
            <a:gd name="adj" fmla="val 21887"/>
          </a:avLst>
        </a:prstGeom>
        <a:noFill/>
        <a:ln w="342900" cap="rnd">
          <a:solidFill>
            <a:schemeClr val="bg1">
              <a:lumMod val="95000"/>
            </a:schemeClr>
          </a:solidFill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>
    <xdr:from>
      <xdr:col>0</xdr:col>
      <xdr:colOff>15240</xdr:colOff>
      <xdr:row>0</xdr:row>
      <xdr:rowOff>30480</xdr:rowOff>
    </xdr:from>
    <xdr:to>
      <xdr:col>9</xdr:col>
      <xdr:colOff>243840</xdr:colOff>
      <xdr:row>3</xdr:row>
      <xdr:rowOff>182880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94B17D-FC96-6C3E-70E0-6D382C65AAA4}"/>
            </a:ext>
          </a:extLst>
        </xdr:cNvPr>
        <xdr:cNvSpPr/>
      </xdr:nvSpPr>
      <xdr:spPr>
        <a:xfrm>
          <a:off x="10856267340" y="30480"/>
          <a:ext cx="9136380" cy="754380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800" b="1">
              <a:latin typeface="Vazirmatn FD" pitchFamily="2" charset="-78"/>
              <a:cs typeface="Vazirmatn FD" pitchFamily="2" charset="-78"/>
            </a:rPr>
            <a:t>پروفایل بازیکن</a:t>
          </a:r>
          <a:endParaRPr lang="en-US" sz="1800" b="1">
            <a:latin typeface="Vazirmatn FD" pitchFamily="2" charset="-78"/>
            <a:cs typeface="Vazirmatn FD" pitchFamily="2" charset="-78"/>
          </a:endParaRPr>
        </a:p>
        <a:p>
          <a:pPr algn="ctr" rtl="1"/>
          <a:r>
            <a:rPr lang="en-US" sz="1100" b="1">
              <a:latin typeface="Vazirmatn FD" pitchFamily="2" charset="-78"/>
              <a:cs typeface="Vazirmatn FD" pitchFamily="2" charset="-78"/>
            </a:rPr>
            <a:t>Player</a:t>
          </a:r>
          <a:r>
            <a:rPr lang="en-US" sz="1100" b="1" baseline="0">
              <a:latin typeface="Vazirmatn FD" pitchFamily="2" charset="-78"/>
              <a:cs typeface="Vazirmatn FD" pitchFamily="2" charset="-78"/>
            </a:rPr>
            <a:t> Profile</a:t>
          </a:r>
          <a:endParaRPr lang="en-US" sz="1100" b="1">
            <a:latin typeface="Vazirmatn FD" pitchFamily="2" charset="-78"/>
            <a:cs typeface="Vazirmatn FD" pitchFamily="2" charset="-78"/>
          </a:endParaRPr>
        </a:p>
      </xdr:txBody>
    </xdr:sp>
    <xdr:clientData/>
  </xdr:twoCellAnchor>
  <xdr:twoCellAnchor>
    <xdr:from>
      <xdr:col>2</xdr:col>
      <xdr:colOff>350790</xdr:colOff>
      <xdr:row>4</xdr:row>
      <xdr:rowOff>45720</xdr:rowOff>
    </xdr:from>
    <xdr:to>
      <xdr:col>6</xdr:col>
      <xdr:colOff>388350</xdr:colOff>
      <xdr:row>6</xdr:row>
      <xdr:rowOff>76200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E871CEA-74E5-49EC-84A5-824C9875004F}"/>
            </a:ext>
          </a:extLst>
        </xdr:cNvPr>
        <xdr:cNvSpPr/>
      </xdr:nvSpPr>
      <xdr:spPr>
        <a:xfrm>
          <a:off x="10860550050" y="845820"/>
          <a:ext cx="3961860" cy="480060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 rtl="1"/>
          <a:r>
            <a:rPr lang="fa-IR" sz="1100" b="0">
              <a:latin typeface="Vazir Black FD" pitchFamily="2" charset="-78"/>
              <a:cs typeface="Vazir Black FD" pitchFamily="2" charset="-78"/>
            </a:rPr>
            <a:t>انتخاب بازیکن :</a:t>
          </a:r>
          <a:endParaRPr lang="en-US" sz="1100" b="0">
            <a:latin typeface="Vazir Black FD" pitchFamily="2" charset="-78"/>
            <a:cs typeface="Vazir Black FD" pitchFamily="2" charset="-78"/>
          </a:endParaRPr>
        </a:p>
      </xdr:txBody>
    </xdr:sp>
    <xdr:clientData/>
  </xdr:twoCellAnchor>
  <xdr:twoCellAnchor>
    <xdr:from>
      <xdr:col>3</xdr:col>
      <xdr:colOff>774285</xdr:colOff>
      <xdr:row>7</xdr:row>
      <xdr:rowOff>1905</xdr:rowOff>
    </xdr:from>
    <xdr:to>
      <xdr:col>5</xdr:col>
      <xdr:colOff>1423035</xdr:colOff>
      <xdr:row>17</xdr:row>
      <xdr:rowOff>182610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04CAE1-E5D9-6FFB-E6DE-710DF1183D18}"/>
            </a:ext>
          </a:extLst>
        </xdr:cNvPr>
        <xdr:cNvSpPr/>
      </xdr:nvSpPr>
      <xdr:spPr>
        <a:xfrm>
          <a:off x="10859172465" y="1198245"/>
          <a:ext cx="2264190" cy="2558145"/>
        </a:xfrm>
        <a:prstGeom prst="roundRect">
          <a:avLst>
            <a:gd name="adj" fmla="val 843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490233</xdr:colOff>
      <xdr:row>21</xdr:row>
      <xdr:rowOff>0</xdr:rowOff>
    </xdr:from>
    <xdr:to>
      <xdr:col>6</xdr:col>
      <xdr:colOff>228597</xdr:colOff>
      <xdr:row>30</xdr:row>
      <xdr:rowOff>218760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FE7C326-47A4-4C29-8E74-F243F550E89B}"/>
            </a:ext>
          </a:extLst>
        </xdr:cNvPr>
        <xdr:cNvSpPr/>
      </xdr:nvSpPr>
      <xdr:spPr>
        <a:xfrm>
          <a:off x="10858941963" y="4320540"/>
          <a:ext cx="5994384" cy="2481900"/>
        </a:xfrm>
        <a:prstGeom prst="roundRect">
          <a:avLst>
            <a:gd name="adj" fmla="val 4728"/>
          </a:avLst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193970</xdr:colOff>
      <xdr:row>41</xdr:row>
      <xdr:rowOff>50915</xdr:rowOff>
    </xdr:from>
    <xdr:to>
      <xdr:col>8</xdr:col>
      <xdr:colOff>1402080</xdr:colOff>
      <xdr:row>53</xdr:row>
      <xdr:rowOff>1905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C5A44AA-8A1F-41BB-9F93-EFB4927A411F}"/>
            </a:ext>
          </a:extLst>
        </xdr:cNvPr>
        <xdr:cNvSpPr/>
      </xdr:nvSpPr>
      <xdr:spPr>
        <a:xfrm>
          <a:off x="10857433200" y="9606395"/>
          <a:ext cx="8660470" cy="2328430"/>
        </a:xfrm>
        <a:prstGeom prst="roundRect">
          <a:avLst>
            <a:gd name="adj" fmla="val 6849"/>
          </a:avLst>
        </a:prstGeom>
        <a:noFill/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rtl="1"/>
          <a:endParaRPr lang="en-US">
            <a:effectLst/>
          </a:endParaRPr>
        </a:p>
      </xdr:txBody>
    </xdr:sp>
    <xdr:clientData/>
  </xdr:twoCellAnchor>
  <xdr:twoCellAnchor>
    <xdr:from>
      <xdr:col>6</xdr:col>
      <xdr:colOff>361095</xdr:colOff>
      <xdr:row>21</xdr:row>
      <xdr:rowOff>0</xdr:rowOff>
    </xdr:from>
    <xdr:to>
      <xdr:col>9</xdr:col>
      <xdr:colOff>195</xdr:colOff>
      <xdr:row>30</xdr:row>
      <xdr:rowOff>226380</xdr:rowOff>
    </xdr:to>
    <xdr:sp macro="" textlink="">
      <xdr:nvSpPr>
        <xdr:cNvPr id="108" name="Rectangle: Rounded Corners 107">
          <a:extLst>
            <a:ext uri="{FF2B5EF4-FFF2-40B4-BE49-F238E27FC236}">
              <a16:creationId xmlns:a16="http://schemas.microsoft.com/office/drawing/2014/main" id="{D21D0752-B374-4AD5-933C-E14E3128DCFA}"/>
            </a:ext>
          </a:extLst>
        </xdr:cNvPr>
        <xdr:cNvSpPr/>
      </xdr:nvSpPr>
      <xdr:spPr>
        <a:xfrm>
          <a:off x="10856510985" y="4320540"/>
          <a:ext cx="2298480" cy="248952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323851</xdr:colOff>
      <xdr:row>41</xdr:row>
      <xdr:rowOff>121376</xdr:rowOff>
    </xdr:from>
    <xdr:to>
      <xdr:col>8</xdr:col>
      <xdr:colOff>1306286</xdr:colOff>
      <xdr:row>52</xdr:row>
      <xdr:rowOff>117566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7FCD290-2A5F-7BE4-0550-5E8CC2F51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377190</xdr:colOff>
      <xdr:row>7</xdr:row>
      <xdr:rowOff>1905</xdr:rowOff>
    </xdr:from>
    <xdr:to>
      <xdr:col>8</xdr:col>
      <xdr:colOff>1410750</xdr:colOff>
      <xdr:row>17</xdr:row>
      <xdr:rowOff>182610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23898C35-4D5D-4A7F-96EC-C12D2ECE10B7}"/>
            </a:ext>
          </a:extLst>
        </xdr:cNvPr>
        <xdr:cNvSpPr/>
      </xdr:nvSpPr>
      <xdr:spPr>
        <a:xfrm>
          <a:off x="10856525370" y="1198245"/>
          <a:ext cx="2268000" cy="2558145"/>
        </a:xfrm>
        <a:prstGeom prst="roundRect">
          <a:avLst>
            <a:gd name="adj" fmla="val 843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617220</xdr:colOff>
      <xdr:row>32</xdr:row>
      <xdr:rowOff>114300</xdr:rowOff>
    </xdr:from>
    <xdr:to>
      <xdr:col>3</xdr:col>
      <xdr:colOff>7621</xdr:colOff>
      <xdr:row>40</xdr:row>
      <xdr:rowOff>135960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ADFA9CE-0002-4094-9694-60BEE6FC81E7}"/>
            </a:ext>
          </a:extLst>
        </xdr:cNvPr>
        <xdr:cNvSpPr/>
      </xdr:nvSpPr>
      <xdr:spPr>
        <a:xfrm>
          <a:off x="10862203319" y="7284720"/>
          <a:ext cx="2598421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3</xdr:col>
      <xdr:colOff>784860</xdr:colOff>
      <xdr:row>32</xdr:row>
      <xdr:rowOff>114300</xdr:rowOff>
    </xdr:from>
    <xdr:to>
      <xdr:col>6</xdr:col>
      <xdr:colOff>15240</xdr:colOff>
      <xdr:row>40</xdr:row>
      <xdr:rowOff>135960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C067FA66-933B-34C8-25D7-DEE04492A68F}"/>
            </a:ext>
          </a:extLst>
        </xdr:cNvPr>
        <xdr:cNvSpPr/>
      </xdr:nvSpPr>
      <xdr:spPr>
        <a:xfrm>
          <a:off x="10859155320" y="7284720"/>
          <a:ext cx="2278380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6</xdr:col>
      <xdr:colOff>361095</xdr:colOff>
      <xdr:row>32</xdr:row>
      <xdr:rowOff>114300</xdr:rowOff>
    </xdr:from>
    <xdr:to>
      <xdr:col>9</xdr:col>
      <xdr:colOff>2115</xdr:colOff>
      <xdr:row>40</xdr:row>
      <xdr:rowOff>135960</xdr:rowOff>
    </xdr:to>
    <xdr:sp macro="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A66A9217-EBD8-C8EA-E3F9-F3575A0BCD30}"/>
            </a:ext>
          </a:extLst>
        </xdr:cNvPr>
        <xdr:cNvSpPr/>
      </xdr:nvSpPr>
      <xdr:spPr>
        <a:xfrm>
          <a:off x="10856509065" y="7284720"/>
          <a:ext cx="2300400" cy="1980000"/>
        </a:xfrm>
        <a:prstGeom prst="roundRect">
          <a:avLst>
            <a:gd name="adj" fmla="val 5073"/>
          </a:avLst>
        </a:prstGeom>
        <a:noFill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>
    <xdr:from>
      <xdr:col>0</xdr:col>
      <xdr:colOff>612300</xdr:colOff>
      <xdr:row>8</xdr:row>
      <xdr:rowOff>114300</xdr:rowOff>
    </xdr:from>
    <xdr:to>
      <xdr:col>2</xdr:col>
      <xdr:colOff>80580</xdr:colOff>
      <xdr:row>16</xdr:row>
      <xdr:rowOff>24540</xdr:rowOff>
    </xdr:to>
    <xdr:sp macro="" textlink="">
      <xdr:nvSpPr>
        <xdr:cNvPr id="30" name="PlayerPhoto">
          <a:extLst>
            <a:ext uri="{FF2B5EF4-FFF2-40B4-BE49-F238E27FC236}">
              <a16:creationId xmlns:a16="http://schemas.microsoft.com/office/drawing/2014/main" id="{A2965C22-0C72-4902-97D9-53CDA63CAB67}"/>
            </a:ext>
          </a:extLst>
        </xdr:cNvPr>
        <xdr:cNvSpPr/>
      </xdr:nvSpPr>
      <xdr:spPr>
        <a:xfrm>
          <a:off x="10864782120" y="1798320"/>
          <a:ext cx="1800000" cy="1800000"/>
        </a:xfrm>
        <a:prstGeom prst="roundRect">
          <a:avLst/>
        </a:prstGeom>
        <a:noFill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 rtl="1"/>
          <a:endParaRPr lang="en-US" sz="1100"/>
        </a:p>
      </xdr:txBody>
    </xdr:sp>
    <xdr:clientData/>
  </xdr:twoCellAnchor>
  <xdr:twoCellAnchor editAs="absolute">
    <xdr:from>
      <xdr:col>6</xdr:col>
      <xdr:colOff>160020</xdr:colOff>
      <xdr:row>0</xdr:row>
      <xdr:rowOff>129540</xdr:rowOff>
    </xdr:from>
    <xdr:to>
      <xdr:col>8</xdr:col>
      <xdr:colOff>734175</xdr:colOff>
      <xdr:row>3</xdr:row>
      <xdr:rowOff>87447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E7A9BA9-258C-484D-8F33-AD67F47A2A96}"/>
            </a:ext>
          </a:extLst>
        </xdr:cNvPr>
        <xdr:cNvSpPr/>
      </xdr:nvSpPr>
      <xdr:spPr>
        <a:xfrm>
          <a:off x="10858969785" y="129540"/>
          <a:ext cx="1808595" cy="788487"/>
        </a:xfrm>
        <a:prstGeom prst="roundRect">
          <a:avLst/>
        </a:prstGeom>
        <a:solidFill>
          <a:srgbClr val="002060"/>
        </a:solidFill>
        <a:ln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00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سیستم</a:t>
          </a:r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 مدیریت اطلاعات</a:t>
          </a:r>
        </a:p>
        <a:p>
          <a:pPr algn="ctr" rtl="1"/>
          <a:r>
            <a:rPr lang="fa-IR" sz="1000" baseline="0">
              <a:latin typeface="Vazirmatn FD" pitchFamily="2" charset="-78"/>
              <a:ea typeface="Tahoma" panose="020B0604030504040204" pitchFamily="34" charset="0"/>
              <a:cs typeface="Vazirmatn FD" pitchFamily="2" charset="-78"/>
            </a:rPr>
            <a:t>تیم ملی فوتبال ساحلی</a:t>
          </a:r>
          <a:endParaRPr lang="en-US" sz="1000">
            <a:latin typeface="Vazirmatn FD" pitchFamily="2" charset="-78"/>
            <a:ea typeface="Tahoma" panose="020B0604030504040204" pitchFamily="34" charset="0"/>
            <a:cs typeface="Vazirmatn FD" pitchFamily="2" charset="-78"/>
          </a:endParaRPr>
        </a:p>
      </xdr:txBody>
    </xdr:sp>
    <xdr:clientData/>
  </xdr:twoCellAnchor>
  <xdr:twoCellAnchor editAs="oneCell">
    <xdr:from>
      <xdr:col>8</xdr:col>
      <xdr:colOff>749943</xdr:colOff>
      <xdr:row>0</xdr:row>
      <xdr:rowOff>267743</xdr:rowOff>
    </xdr:from>
    <xdr:to>
      <xdr:col>8</xdr:col>
      <xdr:colOff>1403110</xdr:colOff>
      <xdr:row>2</xdr:row>
      <xdr:rowOff>158765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AD91837-3578-4CF2-894D-14096C14C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8300850" y="267743"/>
          <a:ext cx="653167" cy="447282"/>
        </a:xfrm>
        <a:prstGeom prst="rect">
          <a:avLst/>
        </a:prstGeom>
        <a:effectLst>
          <a:glow rad="101600">
            <a:schemeClr val="accent1">
              <a:satMod val="175000"/>
              <a:alpha val="40000"/>
            </a:schemeClr>
          </a:glo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1158240</xdr:colOff>
      <xdr:row>3</xdr:row>
      <xdr:rowOff>38099</xdr:rowOff>
    </xdr:from>
    <xdr:to>
      <xdr:col>1</xdr:col>
      <xdr:colOff>1462650</xdr:colOff>
      <xdr:row>4</xdr:row>
      <xdr:rowOff>0</xdr:rowOff>
    </xdr:to>
    <xdr:pic>
      <xdr:nvPicPr>
        <xdr:cNvPr id="3" name="Pic3876543210">
          <a:extLst>
            <a:ext uri="{FF2B5EF4-FFF2-40B4-BE49-F238E27FC236}">
              <a16:creationId xmlns:a16="http://schemas.microsoft.com/office/drawing/2014/main" id="{1A3F8262-D41F-0271-46D3-9A61D09BCF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71710" y="1043939"/>
          <a:ext cx="304410" cy="365761"/>
        </a:xfrm>
        <a:prstGeom prst="rect">
          <a:avLst/>
        </a:prstGeom>
      </xdr:spPr>
    </xdr:pic>
    <xdr:clientData/>
  </xdr:twoCellAnchor>
  <xdr:twoCellAnchor editAs="oneCell">
    <xdr:from>
      <xdr:col>1</xdr:col>
      <xdr:colOff>1087800</xdr:colOff>
      <xdr:row>1</xdr:row>
      <xdr:rowOff>38100</xdr:rowOff>
    </xdr:from>
    <xdr:to>
      <xdr:col>1</xdr:col>
      <xdr:colOff>1447800</xdr:colOff>
      <xdr:row>1</xdr:row>
      <xdr:rowOff>398100</xdr:rowOff>
    </xdr:to>
    <xdr:pic>
      <xdr:nvPicPr>
        <xdr:cNvPr id="5" name="Pic4420987654">
          <a:extLst>
            <a:ext uri="{FF2B5EF4-FFF2-40B4-BE49-F238E27FC236}">
              <a16:creationId xmlns:a16="http://schemas.microsoft.com/office/drawing/2014/main" id="{F09EB062-1998-2DEA-C0C1-66D8D942A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86560" y="236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987810</xdr:colOff>
      <xdr:row>2</xdr:row>
      <xdr:rowOff>30480</xdr:rowOff>
    </xdr:from>
    <xdr:to>
      <xdr:col>1</xdr:col>
      <xdr:colOff>1527810</xdr:colOff>
      <xdr:row>2</xdr:row>
      <xdr:rowOff>390480</xdr:rowOff>
    </xdr:to>
    <xdr:pic>
      <xdr:nvPicPr>
        <xdr:cNvPr id="4" name="Pic5031987432">
          <a:extLst>
            <a:ext uri="{FF2B5EF4-FFF2-40B4-BE49-F238E27FC236}">
              <a16:creationId xmlns:a16="http://schemas.microsoft.com/office/drawing/2014/main" id="{25CC6C44-77BA-AB69-3F77-9020D5CC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098930" y="632460"/>
          <a:ext cx="54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1173190</xdr:colOff>
      <xdr:row>4</xdr:row>
      <xdr:rowOff>38100</xdr:rowOff>
    </xdr:from>
    <xdr:to>
      <xdr:col>1</xdr:col>
      <xdr:colOff>1457325</xdr:colOff>
      <xdr:row>4</xdr:row>
      <xdr:rowOff>398100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CA657E5-A563-F6AC-D073-931E28F0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69415" y="1447800"/>
          <a:ext cx="284135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1145752</xdr:colOff>
      <xdr:row>5</xdr:row>
      <xdr:rowOff>30480</xdr:rowOff>
    </xdr:from>
    <xdr:to>
      <xdr:col>1</xdr:col>
      <xdr:colOff>1463040</xdr:colOff>
      <xdr:row>5</xdr:row>
      <xdr:rowOff>390480</xdr:rowOff>
    </xdr:to>
    <xdr:pic>
      <xdr:nvPicPr>
        <xdr:cNvPr id="9" name="Pic2954321876">
          <a:extLst>
            <a:ext uri="{FF2B5EF4-FFF2-40B4-BE49-F238E27FC236}">
              <a16:creationId xmlns:a16="http://schemas.microsoft.com/office/drawing/2014/main" id="{AD2F904F-F61D-5869-639D-9D9C6632E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7163700" y="1844040"/>
          <a:ext cx="317288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1342068</xdr:colOff>
      <xdr:row>6</xdr:row>
      <xdr:rowOff>22860</xdr:rowOff>
    </xdr:from>
    <xdr:to>
      <xdr:col>1</xdr:col>
      <xdr:colOff>1628775</xdr:colOff>
      <xdr:row>6</xdr:row>
      <xdr:rowOff>382860</xdr:rowOff>
    </xdr:to>
    <xdr:pic>
      <xdr:nvPicPr>
        <xdr:cNvPr id="11" name="Pic7321890543">
          <a:extLst>
            <a:ext uri="{FF2B5EF4-FFF2-40B4-BE49-F238E27FC236}">
              <a16:creationId xmlns:a16="http://schemas.microsoft.com/office/drawing/2014/main" id="{8F12F9BF-DDAD-6626-7987-C82765F3A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86997965" y="2240280"/>
          <a:ext cx="286707" cy="360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251460</xdr:colOff>
      <xdr:row>1</xdr:row>
      <xdr:rowOff>144780</xdr:rowOff>
    </xdr:from>
    <xdr:to>
      <xdr:col>16</xdr:col>
      <xdr:colOff>365580</xdr:colOff>
      <xdr:row>3</xdr:row>
      <xdr:rowOff>30480</xdr:rowOff>
    </xdr:to>
    <xdr:sp macro="[0]!EditCamp" textlink="">
      <xdr:nvSpPr>
        <xdr:cNvPr id="2" name="btnEditCamp">
          <a:extLst>
            <a:ext uri="{FF2B5EF4-FFF2-40B4-BE49-F238E27FC236}">
              <a16:creationId xmlns:a16="http://schemas.microsoft.com/office/drawing/2014/main" id="{4B5704ED-AC5B-4DAD-A615-AFA261AA16F8}"/>
            </a:ext>
          </a:extLst>
        </xdr:cNvPr>
        <xdr:cNvSpPr/>
      </xdr:nvSpPr>
      <xdr:spPr>
        <a:xfrm>
          <a:off x="10850636340" y="38100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ویرایش اردو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  <xdr:twoCellAnchor editAs="absolute">
    <xdr:from>
      <xdr:col>14</xdr:col>
      <xdr:colOff>236220</xdr:colOff>
      <xdr:row>3</xdr:row>
      <xdr:rowOff>220980</xdr:rowOff>
    </xdr:from>
    <xdr:to>
      <xdr:col>16</xdr:col>
      <xdr:colOff>350340</xdr:colOff>
      <xdr:row>5</xdr:row>
      <xdr:rowOff>106680</xdr:rowOff>
    </xdr:to>
    <xdr:sp macro="[0]!DeleteCamp" textlink="">
      <xdr:nvSpPr>
        <xdr:cNvPr id="3" name="btnDeleteCamp">
          <a:extLst>
            <a:ext uri="{FF2B5EF4-FFF2-40B4-BE49-F238E27FC236}">
              <a16:creationId xmlns:a16="http://schemas.microsoft.com/office/drawing/2014/main" id="{314EE573-F485-42FC-9093-65E839B8C8ED}"/>
            </a:ext>
          </a:extLst>
        </xdr:cNvPr>
        <xdr:cNvSpPr/>
      </xdr:nvSpPr>
      <xdr:spPr>
        <a:xfrm>
          <a:off x="10850651580" y="9296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fa-IR" sz="110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حذف</a:t>
          </a:r>
          <a:r>
            <a:rPr lang="fa-IR" sz="1100" baseline="0">
              <a:solidFill>
                <a:sysClr val="windowText" lastClr="000000"/>
              </a:solidFill>
              <a:latin typeface="Vazirmatn" pitchFamily="2" charset="-78"/>
              <a:cs typeface="Vazirmatn" pitchFamily="2" charset="-78"/>
            </a:rPr>
            <a:t> اردو</a:t>
          </a:r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15240</xdr:colOff>
      <xdr:row>1</xdr:row>
      <xdr:rowOff>45720</xdr:rowOff>
    </xdr:from>
    <xdr:to>
      <xdr:col>4</xdr:col>
      <xdr:colOff>114120</xdr:colOff>
      <xdr:row>3</xdr:row>
      <xdr:rowOff>7620</xdr:rowOff>
    </xdr:to>
    <xdr:sp macro="" textlink="">
      <xdr:nvSpPr>
        <xdr:cNvPr id="2" name="Btn">
          <a:extLst>
            <a:ext uri="{FF2B5EF4-FFF2-40B4-BE49-F238E27FC236}">
              <a16:creationId xmlns:a16="http://schemas.microsoft.com/office/drawing/2014/main" id="{DF11ABBE-6CAB-44CF-BBD9-98D97A04E391}"/>
            </a:ext>
          </a:extLst>
        </xdr:cNvPr>
        <xdr:cNvSpPr/>
      </xdr:nvSpPr>
      <xdr:spPr>
        <a:xfrm>
          <a:off x="10983658680" y="243840"/>
          <a:ext cx="1440000" cy="358140"/>
        </a:xfrm>
        <a:prstGeom prst="roundRect">
          <a:avLst/>
        </a:prstGeom>
        <a:solidFill>
          <a:schemeClr val="tx2">
            <a:lumMod val="25000"/>
            <a:lumOff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endParaRPr lang="en-US" sz="1100">
            <a:solidFill>
              <a:sysClr val="windowText" lastClr="000000"/>
            </a:solidFill>
            <a:latin typeface="Vazirmatn" pitchFamily="2" charset="-78"/>
            <a:cs typeface="Vazirmatn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6BB8B056-A56D-453A-8D58-9B92C8B162CF}" name="PhotosTbl" displayName="PhotosTbl" ref="A1:C11" totalsRowShown="0" headerRowDxfId="285" dataDxfId="284">
  <autoFilter ref="A1:C11" xr:uid="{6BB8B056-A56D-453A-8D58-9B92C8B162CF}"/>
  <tableColumns count="3">
    <tableColumn id="1" xr3:uid="{46BC8D14-B8C8-4627-9672-B49A3A25D89A}" name="کد ملی" dataDxfId="283"/>
    <tableColumn id="2" xr3:uid="{18EBD1CC-C2EC-4E8E-BF4B-ECA97119C054}" name="عکس" dataDxfId="282"/>
    <tableColumn id="3" xr3:uid="{A781D4A4-A8EC-49C5-B4BE-B83746A25F1B}" name="توضیحات" dataDxfId="28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ECCEDB0-A1F5-4E43-BD97-45F137B6EDD6}" name="PlayerTbl" displayName="PlayerTbl" ref="A1:O11" totalsRowShown="0" headerRowDxfId="280" dataDxfId="279">
  <autoFilter ref="A1:O11" xr:uid="{3ECCEDB0-A1F5-4E43-BD97-45F137B6EDD6}"/>
  <tableColumns count="15">
    <tableColumn id="1" xr3:uid="{4F5D978C-4DA2-44AB-9CC3-07493A2008FB}" name="کد ملی" dataDxfId="278"/>
    <tableColumn id="2" xr3:uid="{8698E185-D1B0-46D8-B0CC-F792BE30D134}" name="نام" dataDxfId="277"/>
    <tableColumn id="3" xr3:uid="{EAFEF8ED-AD09-4FA1-953C-554A19936BB3}" name="نام خانوادگی" dataDxfId="276"/>
    <tableColumn id="4" xr3:uid="{7FC8367D-DF24-4B23-99B3-072B7A631A02}" name="تاریخ تولد" dataDxfId="275"/>
    <tableColumn id="5" xr3:uid="{A6521BBD-0976-4D69-BE67-15AACE74BDEE}" name="شماره تماس" dataDxfId="274"/>
    <tableColumn id="6" xr3:uid="{828423A9-2CAB-4112-951B-370219AFABE6}" name="پست اصلی" dataDxfId="273"/>
    <tableColumn id="13" xr3:uid="{A940B3E1-C4EE-4EC3-AA92-67E86BDB3A50}" name="پست فرعی" dataDxfId="272"/>
    <tableColumn id="7" xr3:uid="{251BB0C7-1433-4623-81F8-0B772DAC9CE2}" name="پای تخصصی" dataDxfId="271"/>
    <tableColumn id="8" xr3:uid="{4F0864C0-3593-46A9-A404-919D07B85841}" name="قد" dataDxfId="270"/>
    <tableColumn id="9" xr3:uid="{C758B341-4382-4BC7-8EC8-BDD67413AF6E}" name="وزن" dataDxfId="269"/>
    <tableColumn id="12" xr3:uid="{9F349B93-C550-48F9-80E8-7FD5141F698A}" name="گروه خونی" dataDxfId="268"/>
    <tableColumn id="10" xr3:uid="{426A727A-B444-45D4-A7B6-8D2A2AA1888E}" name="وضعیت" dataDxfId="267"/>
    <tableColumn id="14" xr3:uid="{90D28CAB-33CF-4A9F-B450-C12F9D273599}" name="شماره پاسپورت" dataDxfId="266"/>
    <tableColumn id="15" xr3:uid="{ECB518BC-A553-412F-BF80-D93A8191B9A7}" name="تاریخ اعتبار پاسپورت" dataDxfId="265"/>
    <tableColumn id="11" xr3:uid="{AC560CB6-07C5-4D8E-848A-F45130398CEA}" name="توضیحات" dataDxfId="2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934330-6090-44D1-A6D8-29589DCC64BD}" name="ContactsTbl" displayName="ContactsTbl" ref="A1:J11" totalsRowShown="0" headerRowDxfId="263" dataDxfId="262">
  <autoFilter ref="A1:J11" xr:uid="{32934330-6090-44D1-A6D8-29589DCC64BD}"/>
  <tableColumns count="10">
    <tableColumn id="1" xr3:uid="{A2B1D12D-DBD5-483F-ACAC-DA3CDD517312}" name="کد ملی" dataDxfId="261"/>
    <tableColumn id="2" xr3:uid="{C75B781A-0139-45A9-8C6E-DE2DA3FAF517}" name="شماره موبایل" dataDxfId="260"/>
    <tableColumn id="3" xr3:uid="{C167FDB7-4B5D-4E0D-87E8-EAFE3464ED15}" name="شماره تماس اضطراری" dataDxfId="259"/>
    <tableColumn id="4" xr3:uid="{C15898E0-3ABA-43CE-93BC-884A286FEDA2}" name="نام تماس اضطراری" dataDxfId="258"/>
    <tableColumn id="10" xr3:uid="{77E6EC9C-DE51-4B40-9CBB-1E22A9FBD678}" name="گروهبندی" dataDxfId="257"/>
    <tableColumn id="5" xr3:uid="{95026722-20C9-4FF0-9949-3519FC29D36C}" name="نسبت" dataDxfId="256"/>
    <tableColumn id="7" xr3:uid="{1899CD35-A193-44CC-B88F-06F48C8D57C8}" name="شهر" dataDxfId="255"/>
    <tableColumn id="6" xr3:uid="{32AE0857-926E-4A96-9931-2A0147A94F93}" name="آدرس" dataDxfId="254"/>
    <tableColumn id="8" xr3:uid="{C2E9BEC2-68E7-4A45-8109-891D38A1E30B}" name="کد پستی" dataDxfId="253"/>
    <tableColumn id="9" xr3:uid="{B4A45C60-9889-4B91-8F20-50F51741031C}" name="توضیحات" dataDxfId="2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498FEE-AAB3-4141-908E-FEE0CA984C6A}" name="StaffTbl" displayName="StaffTbl" ref="A1:K14" totalsRowShown="0" headerRowDxfId="251" dataDxfId="250">
  <autoFilter ref="A1:K14" xr:uid="{77498FEE-AAB3-4141-908E-FEE0CA984C6A}"/>
  <tableColumns count="11">
    <tableColumn id="1" xr3:uid="{E982F653-5555-4628-A6CB-B491BF8D97EF}" name="کد ملی" dataDxfId="249"/>
    <tableColumn id="2" xr3:uid="{0DCADE4B-0042-4316-B97B-15CAA07402A3}" name="نام" dataDxfId="248"/>
    <tableColumn id="3" xr3:uid="{B8C4C983-6BB4-4D21-A57E-03AE20DE0E36}" name="نام خانوادگی" dataDxfId="247"/>
    <tableColumn id="4" xr3:uid="{47A9FA33-29AB-46EF-959F-F14EB7FE9355}" name="تاریخ تولد" dataDxfId="246"/>
    <tableColumn id="5" xr3:uid="{2AD7233F-2F0B-4614-8C49-864BA5F50DBF}" name="سمت" dataDxfId="245"/>
    <tableColumn id="6" xr3:uid="{C3AC7E18-A79D-4144-8A07-77FEB21843FB}" name="مدرک مربیگری" dataDxfId="244"/>
    <tableColumn id="8" xr3:uid="{F5B2333C-F4E9-462E-8889-47706064F1AA}" name="تاریخ شروع همکاری" dataDxfId="243"/>
    <tableColumn id="9" xr3:uid="{91F642E4-889B-4202-8B40-1C9973CEC6BB}" name="تاریخ پایان همکاری" dataDxfId="242"/>
    <tableColumn id="7" xr3:uid="{781E6A3F-F432-46F9-A619-546FF856A2CB}" name="مدرک تحصیلی" dataDxfId="241"/>
    <tableColumn id="10" xr3:uid="{7C52412F-CC34-4DB4-A781-0036C7D018BB}" name="وضعیت" dataDxfId="240"/>
    <tableColumn id="11" xr3:uid="{C27ABA6D-198F-4423-A5DC-95F548ED7A05}" name="توضیحات" dataDxfId="2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7CCA292-B001-4AC9-B062-D1B6C7AA195B}" name="ClubsTbl" displayName="ClubsTbl" ref="A1:G14" totalsRowShown="0" headerRowDxfId="238" dataDxfId="237">
  <autoFilter ref="A1:G14" xr:uid="{27CCA292-B001-4AC9-B062-D1B6C7AA195B}"/>
  <tableColumns count="7">
    <tableColumn id="1" xr3:uid="{E717C8F0-3BE8-4A68-84C7-78C29CAF4A5E}" name="ClubID" dataDxfId="236"/>
    <tableColumn id="2" xr3:uid="{7F4C60F6-CA19-4117-9F28-B4D8C436245C}" name="نام باشگاه" dataDxfId="235"/>
    <tableColumn id="3" xr3:uid="{092E3513-9FF3-491D-A37B-C59455439AE0}" name="شهر" dataDxfId="234"/>
    <tableColumn id="4" xr3:uid="{A8CF5927-DD22-40A3-B19E-A10334DF2739}" name="استان" dataDxfId="233"/>
    <tableColumn id="5" xr3:uid="{F73E14F6-2F55-4531-8A83-BEB878735D88}" name="کشور" dataDxfId="232"/>
    <tableColumn id="6" xr3:uid="{01DD44A4-12AC-4B99-B7BB-08B930A8E381}" name="وضعیت" dataDxfId="231"/>
    <tableColumn id="7" xr3:uid="{D9202591-CFDB-48E3-ABDA-D09A66581DA7}" name="توضیحات" dataDxfId="2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0935BF5-90E7-42BA-A285-8E7072B1DF57}" name="ClubHistoryTbl" displayName="ClubHistoryTbl" ref="A1:H13" totalsRowShown="0" headerRowDxfId="229" dataDxfId="228">
  <autoFilter ref="A1:H13" xr:uid="{D0935BF5-90E7-42BA-A285-8E7072B1DF57}"/>
  <tableColumns count="8">
    <tableColumn id="1" xr3:uid="{BF89BB82-BD7A-43FC-BF93-1C42C89840F2}" name="RecordID" dataDxfId="227"/>
    <tableColumn id="2" xr3:uid="{3D821315-1A79-4CC2-A799-71920FCF8589}" name="کد ملی" dataDxfId="226"/>
    <tableColumn id="3" xr3:uid="{A7A988D8-D279-4C64-A404-67BBED91930F}" name="ClubID" dataDxfId="225"/>
    <tableColumn id="4" xr3:uid="{5BCA5AC4-ACAC-450D-8BC2-87F5FB3F0A43}" name="تاریخ شروع" dataDxfId="224"/>
    <tableColumn id="5" xr3:uid="{96BA3101-7540-46D4-A1DF-A70E058E8A22}" name="تاریخ پایان" dataDxfId="223"/>
    <tableColumn id="6" xr3:uid="{DB426E4B-A31C-463A-9189-39E13DCE27E5}" name="شماره پیراهن" dataDxfId="222"/>
    <tableColumn id="7" xr3:uid="{028E0ED3-4056-490F-AC21-AD0A2F8E62FC}" name="کاپیتان" dataDxfId="221"/>
    <tableColumn id="8" xr3:uid="{3D54B857-B962-4C7B-AACE-57A868577552}" name="توضیحات" dataDxfId="22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7B6CE3-E160-4406-9FEE-76C030CC70C2}" name="CampsTbl" displayName="CampsTbl" ref="A1:N5" totalsRowShown="0" headerRowDxfId="219" dataDxfId="218">
  <autoFilter ref="A1:N5" xr:uid="{FA7B6CE3-E160-4406-9FEE-76C030CC70C2}"/>
  <tableColumns count="14">
    <tableColumn id="1" xr3:uid="{F530CD9A-65D6-435F-AC3A-CE183E159FAE}" name="CampID" dataDxfId="217"/>
    <tableColumn id="2" xr3:uid="{00F023ED-A309-462E-82A7-07FD47D87C0A}" name="عنوان اردو" dataDxfId="216"/>
    <tableColumn id="3" xr3:uid="{84AAE9E1-8B7E-494F-AE2C-466600A36C68}" name="نوع اردو" dataDxfId="215"/>
    <tableColumn id="4" xr3:uid="{B7F20A3B-2593-49D3-8157-F71B76716487}" name="تاریخ شروع" dataDxfId="214"/>
    <tableColumn id="5" xr3:uid="{7319F225-BCE9-4035-BBE0-E9AAE2AE4991}" name="تاریخ پایان" dataDxfId="213"/>
    <tableColumn id="6" xr3:uid="{CD0806EB-B893-46DF-B8C4-BA7CB8960EED}" name="شهر" dataDxfId="212"/>
    <tableColumn id="7" xr3:uid="{1DB3D956-6F42-49AF-9038-923CF7CA81E2}" name="کشور" dataDxfId="211"/>
    <tableColumn id="8" xr3:uid="{97A2367C-8A97-4B02-AA85-A2FF29C59FE1}" name="محل اردو" dataDxfId="210"/>
    <tableColumn id="9" xr3:uid="{09CABF84-243C-4406-8704-570E0BF6DFA6}" name="سرمربی" dataDxfId="209"/>
    <tableColumn id="10" xr3:uid="{E09FEBF9-DA34-418D-84D7-0DBB004E42BA}" name="هدف اردو (آماده‌سازی، انتخابی، ریکاوری، ...)" dataDxfId="208"/>
    <tableColumn id="11" xr3:uid="{406DD73C-7431-41F2-9258-05D8A78727B8}" name="مسئول اردو (StaffID)" dataDxfId="207"/>
    <tableColumn id="12" xr3:uid="{8179C616-67F3-4DEF-B650-197533BEC266}" name="فهرست نهایی دعوت‌شدگان" dataDxfId="206"/>
    <tableColumn id="14" xr3:uid="{2F716DE4-0EEB-49D3-9F0B-1AEC70D53968}" name="توضیحات" dataDxfId="205"/>
    <tableColumn id="15" xr3:uid="{9C485B01-E59B-4329-A68F-775AB0C8E331}" name="فایل‌های مرتبط (برنامه اردو، لیست اتاق‌ها، نامه‌ها و...)" dataDxfId="20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AA25654-E76F-438C-A24B-A4A7E3DDE6C0}" name="CampAttTbl" displayName="CampAttTbl" ref="A1:J17" totalsRowShown="0" headerRowDxfId="203" dataDxfId="202">
  <autoFilter ref="A1:J17" xr:uid="{0AA25654-E76F-438C-A24B-A4A7E3DDE6C0}"/>
  <tableColumns count="10">
    <tableColumn id="1" xr3:uid="{6F2E1AA3-E286-461E-83E5-81EF20211E9C}" name="RecordID" dataDxfId="201"/>
    <tableColumn id="2" xr3:uid="{1D244911-EBA1-4C6A-82C0-3D1410C4A797}" name="CampID" dataDxfId="200"/>
    <tableColumn id="4" xr3:uid="{76F04D8B-A3FB-4BD3-B47D-1800660968C5}" name="کد ملی" dataDxfId="199"/>
    <tableColumn id="5" xr3:uid="{2C967E4C-6534-4295-9F48-5A017DFD69AA}" name="وضعیت دعوت" dataDxfId="198"/>
    <tableColumn id="3" xr3:uid="{83D713A2-22FE-45C5-AF4E-0798EDE8941A}" name="تاریخ دعوت" dataDxfId="197"/>
    <tableColumn id="6" xr3:uid="{EC278673-C97E-48DB-8E44-0AF6B01FB059}" name="وضعیت حضور" dataDxfId="196"/>
    <tableColumn id="7" xr3:uid="{455BDB56-ACDA-456E-826E-9A803207A633}" name="تاریخ ورود" dataDxfId="195"/>
    <tableColumn id="8" xr3:uid="{9AAE6F41-FB35-44C2-943D-E9F71FDC5EB7}" name="تاریخ خروج" dataDxfId="194"/>
    <tableColumn id="9" xr3:uid="{30F93988-DCFA-44F9-B6E1-066DC0CDB4CB}" name="علت غیبت" dataDxfId="193"/>
    <tableColumn id="10" xr3:uid="{55D9329A-1B3F-4B40-B198-8E7161911FA3}" name="توضیحات" dataDxfId="19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6F04976-AEBB-42D9-BFDD-F3DBD3D0C734}" name="MatchesTbl" displayName="MatchesTbl" ref="A1:O2" insertRow="1" totalsRowShown="0" headerRowDxfId="191" dataDxfId="190">
  <autoFilter ref="A1:O2" xr:uid="{26F04976-AEBB-42D9-BFDD-F3DBD3D0C734}"/>
  <tableColumns count="15">
    <tableColumn id="1" xr3:uid="{57C8576C-6550-4A8D-8523-604248505EFA}" name="MatchID" dataDxfId="189"/>
    <tableColumn id="2" xr3:uid="{7BC2D53F-A4EC-4751-85D7-E95C3ECF201E}" name="تاریخ مسابقه" dataDxfId="188"/>
    <tableColumn id="3" xr3:uid="{985254B8-645F-4F37-95D8-9941F0571BD3}" name="حریف" dataDxfId="187"/>
    <tableColumn id="4" xr3:uid="{406D88A3-24AE-4017-984D-820BC912C63A}" name="تورنمنت" dataDxfId="186"/>
    <tableColumn id="5" xr3:uid="{94A1164B-8FC5-400B-B1AF-EBA0BAB0B29B}" name="مرحله" dataDxfId="185"/>
    <tableColumn id="6" xr3:uid="{85C0B8A3-8A79-4C3B-9F3A-F1290FB79164}" name="شهر" dataDxfId="184"/>
    <tableColumn id="7" xr3:uid="{464E0DC0-9D16-4958-8C34-36171267B182}" name="کشور" dataDxfId="183"/>
    <tableColumn id="8" xr3:uid="{F5649D38-07DA-4CE4-9D45-3F7566411835}" name="ورزشگاه" dataDxfId="182"/>
    <tableColumn id="9" xr3:uid="{DE910E53-4EBB-49D0-B85F-70CC286994B8}" name="نتیجه" dataDxfId="181"/>
    <tableColumn id="10" xr3:uid="{0F60C27D-AB04-4734-A1FF-2823FD68B9F4}" name="گل ایران" dataDxfId="180"/>
    <tableColumn id="11" xr3:uid="{01DA90F9-282C-4365-9CF4-5472077F88C4}" name="گل حریف" dataDxfId="179"/>
    <tableColumn id="12" xr3:uid="{3FE0CF4C-04B9-44FF-BF94-29711CAAA6C8}" name="وقت اضافه" dataDxfId="178"/>
    <tableColumn id="13" xr3:uid="{7281E9CA-AF19-4CE5-AB40-A3394E16021A}" name="پنالتی" dataDxfId="177"/>
    <tableColumn id="14" xr3:uid="{696EC0A8-E09B-4FD8-B660-315A6BD50E04}" name="سرمربی" dataDxfId="176"/>
    <tableColumn id="15" xr3:uid="{B7FD7847-0B02-4122-B375-6F4CBED95654}" name="توضیحات" dataDxfId="17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98EE2DA-AF09-49E5-A0E2-BA42980468BC}" name="Table11" displayName="Table11" ref="A1:AA2" totalsRowShown="0" headerRowDxfId="174" dataDxfId="173">
  <autoFilter ref="A1:AA2" xr:uid="{E98EE2DA-AF09-49E5-A0E2-BA42980468BC}"/>
  <tableColumns count="27">
    <tableColumn id="1" xr3:uid="{5CD09D19-167F-47D7-AB62-F04D30FDB9D0}" name="RecordID" dataDxfId="172"/>
    <tableColumn id="2" xr3:uid="{AB22822E-03F7-4207-98F9-27964D15BD7E}" name="MatchID" dataDxfId="171"/>
    <tableColumn id="3" xr3:uid="{72C0E611-E1DC-4468-9B1C-050BDAB12378}" name="PlayerID" dataDxfId="170"/>
    <tableColumn id="4" xr3:uid="{5F0AA2F4-C5CA-4FED-A737-432C53F402C7}" name="شماره پیراهن" dataDxfId="169"/>
    <tableColumn id="5" xr3:uid="{D31EB848-F5CC-464E-BF8C-6418D89B9955}" name="پست بازی" dataDxfId="168"/>
    <tableColumn id="6" xr3:uid="{824CC29C-2E71-4EA0-944C-B941D057B769}" name="ترکیب اصلی" dataDxfId="167"/>
    <tableColumn id="7" xr3:uid="{2643C098-7E0D-4235-BF8F-8A03F871C89C}" name="دقیقه ورود" dataDxfId="166"/>
    <tableColumn id="8" xr3:uid="{C1D66634-A4A4-4EA8-BBC7-13CAD8A394CC}" name="دقیقه خروج" dataDxfId="165"/>
    <tableColumn id="9" xr3:uid="{C82B7EF8-DF66-49A3-B09F-E98A5773BBEC}" name="دقایق بازی" dataDxfId="164"/>
    <tableColumn id="10" xr3:uid="{324D9AB3-2B12-48D4-93F4-B0B283C09BF6}" name="گل" dataDxfId="163"/>
    <tableColumn id="11" xr3:uid="{931CCD63-B8A0-418B-B75D-FCFA7717F07C}" name="پاس گل" dataDxfId="162"/>
    <tableColumn id="12" xr3:uid="{C2C4C19B-4802-4E3B-AD0E-432A2654AD5F}" name="شوت" dataDxfId="161"/>
    <tableColumn id="13" xr3:uid="{37A0D097-7AF5-493E-8985-579E2E9F9599}" name="شوت در چارچوب" dataDxfId="160"/>
    <tableColumn id="14" xr3:uid="{0B22846C-8E40-46C0-A4A2-A168E5B05F1E}" name="توپ‌گیری" dataDxfId="159"/>
    <tableColumn id="15" xr3:uid="{325E84B5-BD85-491B-9475-0D69C797F9CC}" name="قطع توپ" dataDxfId="158"/>
    <tableColumn id="22" xr3:uid="{7E4C65D1-C974-4B47-A077-B15DE36FBF46}" name="گل با قیچی برگردان" dataDxfId="157"/>
    <tableColumn id="23" xr3:uid="{1B9ED57C-44E0-46DB-BCAE-0258EA093842}" name="گل از ضربه آزاد" dataDxfId="156"/>
    <tableColumn id="24" xr3:uid="{774605DB-6C2D-45C9-859F-C1B908D96025}" name="گل از پنالتی" dataDxfId="155"/>
    <tableColumn id="25" xr3:uid="{6B7F70A9-477D-4EDF-813F-D869DF7E77CE}" name="گل با سر" dataDxfId="154"/>
    <tableColumn id="26" xr3:uid="{082064E1-69F0-4FDA-B2FA-11124CE24722}" name="سیو دروازه‌بان" dataDxfId="153"/>
    <tableColumn id="27" xr3:uid="{A691C1B3-7D1B-4CF1-A590-D8306B662693}" name="کلین‌شیت" dataDxfId="152"/>
    <tableColumn id="16" xr3:uid="{B333EBF0-3567-4ED1-9A89-0529CDD0A976}" name="خطا" dataDxfId="151"/>
    <tableColumn id="17" xr3:uid="{48A8141B-9C05-4DAD-8073-961FEA76B56D}" name="کارت زرد" dataDxfId="150"/>
    <tableColumn id="18" xr3:uid="{DB511B2C-E651-4053-8F36-3B0BDF2037D0}" name="کارت قرمز" dataDxfId="149"/>
    <tableColumn id="19" xr3:uid="{717188D8-6926-4106-8C91-0B7A56863247}" name="امتیاز فنی" dataDxfId="148"/>
    <tableColumn id="20" xr3:uid="{93C7A125-E16C-4061-8500-192D384F211C}" name="بهترین بازیکن" dataDxfId="147"/>
    <tableColumn id="21" xr3:uid="{880EC758-AB42-4A6C-B968-310D5A666A7D}" name="توضیحات" dataDxfId="14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71AF25F-E58A-4903-BBF9-715BDA6AA559}" name="FitnessTbl" displayName="FitnessTbl" ref="A2:W13" totalsRowShown="0" headerRowDxfId="145" dataDxfId="144">
  <autoFilter ref="A2:W13" xr:uid="{371AF25F-E58A-4903-BBF9-715BDA6AA559}"/>
  <tableColumns count="23">
    <tableColumn id="1" xr3:uid="{149C1322-9232-4CC0-9E25-DECEBD7A7F48}" name="RecordID" dataDxfId="143"/>
    <tableColumn id="2" xr3:uid="{82D86EB3-F9D7-4C66-B79B-9D34050EEC02}" name="کد ملی" dataDxfId="142"/>
    <tableColumn id="3" xr3:uid="{1B886F8A-E2C4-47FF-BA4F-61568BBC9839}" name="تاریخ تست" dataDxfId="141"/>
    <tableColumn id="4" xr3:uid="{BFF4057D-6FDB-419B-9E99-97A3757276CA}" name="CampID" dataDxfId="140"/>
    <tableColumn id="5" xr3:uid="{A9673ABB-8687-4FFD-A267-9F4C30F6DE96}" name="قد" dataDxfId="139"/>
    <tableColumn id="6" xr3:uid="{6D1A49DF-4B88-47A1-96CA-803E9E8C9B71}" name="وزن" dataDxfId="138"/>
    <tableColumn id="23" xr3:uid="{25604F48-A749-4C6E-A174-EB32EAF28EF2}" name="BMI" dataDxfId="137">
      <calculatedColumnFormula array="1">_xlfn.LET(_xlpm.bmi, ROUND(F3/(E3/100)^2,2), _xlpm.bmi &amp; " - " &amp; _xlfn.IFS(_xlpm.bmi&lt;18.5,"کم وزن", _xlpm.bmi&lt;25,"نرمال", _xlpm.bmi&lt;30,"اضافه وزن", _xlpm.bmi&lt;35,"چاقی درجه 1", _xlpm.bmi&lt;40,"چاقی درجه 2", TRUE,"چاقی مفرط"))</calculatedColumnFormula>
    </tableColumn>
    <tableColumn id="7" xr3:uid="{D54A2844-137E-4DAB-8F72-01FCC8E122F2}" name="درصد چربی بدن" dataDxfId="136"/>
    <tableColumn id="8" xr3:uid="{BDDBBAD9-31A9-4801-B9CF-45E47811D6E7}" name="ضربان قلب استراحت" dataDxfId="135"/>
    <tableColumn id="10" xr3:uid="{3A490D5D-BCF5-4E7E-885C-CB2804C7B78B}" name="۵ متر" dataDxfId="134"/>
    <tableColumn id="11" xr3:uid="{F0E1FFCC-CB32-4074-8688-3E0AFCED28BE}" name="۱۰ متر" dataDxfId="133"/>
    <tableColumn id="12" xr3:uid="{818FE528-34BD-45B5-BF19-B81AC384B255}" name="۲۰ متر" dataDxfId="132"/>
    <tableColumn id="13" xr3:uid="{6D4A7E50-FD30-4C31-92A5-CEFEE6054BDD}" name="۳۰ متر" dataDxfId="131"/>
    <tableColumn id="14" xr3:uid="{A486F740-A378-4FD6-BB7B-5122DC461886}" name="پرش عمودی" dataDxfId="130"/>
    <tableColumn id="15" xr3:uid="{E18BDE16-048B-4C98-98BC-71CDE7FCB115}" name="پرش افقی" dataDxfId="129"/>
    <tableColumn id="16" xr3:uid="{FDEA47EB-E5A5-4098-8126-4B20DE8D1EE7}" name="Yo-Yo Test" dataDxfId="128"/>
    <tableColumn id="17" xr3:uid="{CED08C9A-1AE9-449E-B447-0C6B30230A1E}" name="VO₂ Max" dataDxfId="127"/>
    <tableColumn id="18" xr3:uid="{5AA1571A-3042-4564-9102-2C3CD515DDD2}" name="قدرت پا" dataDxfId="126"/>
    <tableColumn id="19" xr3:uid="{23D7DB2C-15AB-4C63-AB3D-C1A47C1C0A5D}" name="قدرت مرکزی بدن (Core)" dataDxfId="125"/>
    <tableColumn id="20" xr3:uid="{33D009CB-42F4-4207-A5BC-5694078A3AB6}" name="Sit &amp; Reach" dataDxfId="124"/>
    <tableColumn id="21" xr3:uid="{65FE709D-0755-4BAB-83BA-F6F81A19EEE9}" name="آمادگی کلی" dataDxfId="123"/>
    <tableColumn id="22" xr3:uid="{707D496D-2695-4621-9478-D356491C1F75}" name="توضیحات مربی بدنساز" dataDxfId="122"/>
    <tableColumn id="9" xr3:uid="{F4747B3A-30EF-443D-95B5-B935A7CD369E}" name="توضیحات" dataDxfId="12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02739FF-1314-4352-B88C-0552A981B12C}" name="Table23" displayName="Table23" ref="Z2:AO3" insertRow="1" totalsRowShown="0" headerRowDxfId="120" dataDxfId="118" headerRowBorderDxfId="119" tableBorderDxfId="117">
  <autoFilter ref="Z2:AO3" xr:uid="{E02739FF-1314-4352-B88C-0552A981B12C}"/>
  <tableColumns count="16">
    <tableColumn id="1" xr3:uid="{70D1A763-D1C6-48C4-A2DC-9BE9D6330EB7}" name="قد" dataDxfId="116"/>
    <tableColumn id="2" xr3:uid="{BCDFDA43-0929-4949-83FD-227D93740474}" name="وزن" dataDxfId="115"/>
    <tableColumn id="3" xr3:uid="{BFC8FEB8-7D67-4598-AF64-BD6DEDEB2BA0}" name="درصد چربی بدن" dataDxfId="114"/>
    <tableColumn id="4" xr3:uid="{CFC7D9B5-319D-47AB-B30B-6D4DF38F41DA}" name="ضربان قلب استراحت" dataDxfId="113"/>
    <tableColumn id="5" xr3:uid="{DDFDBFC7-518D-40E7-8E90-99F23C4B4025}" name="۵ متر" dataDxfId="112"/>
    <tableColumn id="6" xr3:uid="{EE6A7304-2519-472E-B6D3-1DDAA1DD4C61}" name="۱۰ متر" dataDxfId="111"/>
    <tableColumn id="7" xr3:uid="{CB9DE919-A002-4511-BDF8-C21B1B2C4405}" name="۲۰ متر" dataDxfId="110"/>
    <tableColumn id="8" xr3:uid="{A4A4CDD2-8052-406E-A2E9-9C035EC66E27}" name="۳۰ متر" dataDxfId="109"/>
    <tableColumn id="9" xr3:uid="{0153AEBC-62A0-4EFA-BEE5-0C7A3821C3BD}" name="پرش عمودی" dataDxfId="108"/>
    <tableColumn id="10" xr3:uid="{2D08D7B5-709E-4F4D-BCEE-7A96876E9362}" name="پرش افقی" dataDxfId="107"/>
    <tableColumn id="11" xr3:uid="{C1F51799-2566-4952-9BDF-D2B1EF341400}" name="Yo-Yo Test" dataDxfId="106"/>
    <tableColumn id="12" xr3:uid="{A5263692-459C-4E77-B290-0308DB4CBF93}" name="VO₂ Max" dataDxfId="105"/>
    <tableColumn id="13" xr3:uid="{EE7C1A29-5007-44B9-9DF5-75A80FEE6BDF}" name="قدرت پا" dataDxfId="104"/>
    <tableColumn id="14" xr3:uid="{DCC7FD59-5334-4787-B549-8931E99F3E72}" name="قدرت مرکزی بدن (Core)" dataDxfId="103"/>
    <tableColumn id="15" xr3:uid="{AD94B4C7-F423-4E88-AFC7-E02EEA064677}" name="Sit &amp; Reach" dataDxfId="102"/>
    <tableColumn id="16" xr3:uid="{194433D1-AC22-41A8-9C09-4F2D714CE32E}" name="آمادگی کلی" dataDxfId="10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20AC6-1DD1-47C6-9435-DF7EB8088B88}" name="TechEvalTbl" displayName="TechEvalTbl" ref="A2:AN3" totalsRowShown="0" headerRowDxfId="100" dataDxfId="99">
  <autoFilter ref="A2:AN3" xr:uid="{60F20AC6-1DD1-47C6-9435-DF7EB8088B88}"/>
  <tableColumns count="40">
    <tableColumn id="2" xr3:uid="{2B892552-CFFE-49C9-A193-BF2371229FFC}" name="EvaluationID" dataDxfId="98"/>
    <tableColumn id="3" xr3:uid="{80AE52DB-8B37-4890-84F4-F4664724BF43}" name="کد ملی" dataDxfId="97"/>
    <tableColumn id="4" xr3:uid="{D995AE5A-B8C0-4EA7-8EC0-8DD80674D47C}" name="تاریخ ارزیابی" dataDxfId="96"/>
    <tableColumn id="5" xr3:uid="{AB6D28D6-C25B-4D4A-BFD2-2FCAA387ED32}" name="CampID" dataDxfId="95"/>
    <tableColumn id="6" xr3:uid="{B4C4B2A9-E52F-4E07-8F59-206C63C8764A}" name="MatchID" dataDxfId="94"/>
    <tableColumn id="7" xr3:uid="{45EEEEED-8A34-42FC-B0FA-25ECE988A6E1}" name="EvaluatorID" dataDxfId="93"/>
    <tableColumn id="8" xr3:uid="{E7BA6820-4B7E-47AC-B373-34956C88AD85}" name="کنترل توپ" dataDxfId="92"/>
    <tableColumn id="9" xr3:uid="{852AD714-574E-47C5-8EBB-12EA147FE3CD}" name="پاس" dataDxfId="91"/>
    <tableColumn id="10" xr3:uid="{2C08E0B9-99CE-4E34-8A48-8D59BF9542DC}" name="شوت" dataDxfId="90"/>
    <tableColumn id="11" xr3:uid="{F3B92782-7D71-40B3-9C87-702EA0A070E6}" name="دریبل" dataDxfId="89"/>
    <tableColumn id="12" xr3:uid="{EB225207-6162-4862-8CA6-3E9775FB3399}" name="بازی با پای ضعیف" dataDxfId="88"/>
    <tableColumn id="13" xr3:uid="{2B9D7307-E229-4E47-A40D-CB343D62F32E}" name="ضربه سر" dataDxfId="87"/>
    <tableColumn id="14" xr3:uid="{739CA0B1-038C-49F1-A9F4-422A7E8D6433}" name="ارسال پاس بلند" dataDxfId="86"/>
    <tableColumn id="15" xr3:uid="{100B3496-71A6-4E84-A1F3-CB2A42DE8E4A}" name="قیچی برگردان" dataDxfId="85"/>
    <tableColumn id="16" xr3:uid="{6E6C07E1-67FC-47AE-939A-066D31360790}" name="شوت از راه دور" dataDxfId="84"/>
    <tableColumn id="17" xr3:uid="{639F1B67-0624-49BF-ABD7-D1584625908E}" name="ضربه آزاد" dataDxfId="83"/>
    <tableColumn id="18" xr3:uid="{5C273E16-250E-4E53-BCBF-08254ABC1ABB}" name="پنالتی" dataDxfId="82"/>
    <tableColumn id="19" xr3:uid="{7EDD7263-454F-4079-8333-E270EBA678FB}" name="بازی روی شن" dataDxfId="81"/>
    <tableColumn id="20" xr3:uid="{0D6E912A-E1AA-40EA-A002-535906733BC7}" name="حفظ تعادل روی شن" dataDxfId="80"/>
    <tableColumn id="21" xr3:uid="{A34E0467-A0BE-46D8-AB1C-0BBF50EFCE6A}" name="کنترل توپ هوایی" dataDxfId="79"/>
    <tableColumn id="22" xr3:uid="{60BC5824-34DE-4EC9-9A39-317B3869B65A}" name="ضربه اول" dataDxfId="78"/>
    <tableColumn id="23" xr3:uid="{C30DD161-0F04-4382-A62C-80E5C6993359}" name="درک تاکتیکی" dataDxfId="77"/>
    <tableColumn id="24" xr3:uid="{D8F5B758-4DA1-4CC8-816F-C265770B6FE2}" name="جایگیری" dataDxfId="76"/>
    <tableColumn id="25" xr3:uid="{0790AB10-BEB4-452D-843E-962A66A7D4A5}" name="بازی بدون توپ" dataDxfId="75"/>
    <tableColumn id="26" xr3:uid="{26B2982B-7198-42D1-B843-3711720AFB8B}" name="دفاع تیمی" dataDxfId="74"/>
    <tableColumn id="27" xr3:uid="{C3320BDD-9DA0-41E2-A00B-C0261C29258F}" name="پرس" dataDxfId="73"/>
    <tableColumn id="28" xr3:uid="{CD07F05F-151C-4938-8510-43DEBF7BBA30}" name="انتقال دفاع به حمله" dataDxfId="72"/>
    <tableColumn id="29" xr3:uid="{91CD8503-C810-45AE-B95D-F0E66FD9D617}" name="انتقال حمله به دفاع" dataDxfId="71"/>
    <tableColumn id="30" xr3:uid="{105C9A14-98CB-4356-9810-3ED6CD42F51B}" name="تمرکز" dataDxfId="70"/>
    <tableColumn id="31" xr3:uid="{3B686B73-18FF-4396-95E8-D5EE5DEDFDA5}" name="اعتماد به نفس" dataDxfId="69"/>
    <tableColumn id="32" xr3:uid="{D8EFC641-4442-46E9-88E1-C4523D7B2AC4}" name="تصمیم‌گیری" dataDxfId="68"/>
    <tableColumn id="33" xr3:uid="{D06D8E34-7ADE-43D6-96DA-E2D261C33F24}" name="رهبری" dataDxfId="67"/>
    <tableColumn id="34" xr3:uid="{455D26E6-5863-46D7-977E-79976905C05E}" name="مسئولیت‌پذیری" dataDxfId="66"/>
    <tableColumn id="35" xr3:uid="{09B80319-E99E-4392-B252-C2AE5394B446}" name="نظم" dataDxfId="65"/>
    <tableColumn id="36" xr3:uid="{47915BD7-5D64-4056-B65B-F80424C3717E}" name="جنگندگی" dataDxfId="64"/>
    <tableColumn id="37" xr3:uid="{C6DB403D-F4E5-41E6-88CB-E4C89478EDE6}" name="نقاط قوت" dataDxfId="63"/>
    <tableColumn id="38" xr3:uid="{B6E7CE0D-1105-4D1D-B678-FE989E23E155}" name="نقاط قابل بهبود" dataDxfId="62"/>
    <tableColumn id="39" xr3:uid="{D5C12F78-7FD9-4BB2-9EAF-484E07119D12}" name="پیشنهاد کادر فنی" dataDxfId="61"/>
    <tableColumn id="40" xr3:uid="{A42FE908-52DC-408B-94CF-8B1E677AB446}" name="آمادگی برای مسابقه" dataDxfId="60"/>
    <tableColumn id="41" xr3:uid="{7608A099-AAAF-43BF-B591-91AC03C408B7}" name="توضیحات" dataDxfId="5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9052200-95D7-4A33-A2AA-726AAE55AEB5}" name="MedicalTbl" displayName="MedicalTbl" ref="A1:K2" totalsRowShown="0" headerRowDxfId="58" dataDxfId="57">
  <autoFilter ref="A1:K2" xr:uid="{E9052200-95D7-4A33-A2AA-726AAE55AEB5}"/>
  <tableColumns count="11">
    <tableColumn id="1" xr3:uid="{FCB6F506-77F7-437C-B870-F921358A721C}" name="MedicalID" dataDxfId="56"/>
    <tableColumn id="2" xr3:uid="{493C74A3-826C-41DE-BFC8-9BFE4C8111D8}" name="کد ملی" dataDxfId="55"/>
    <tableColumn id="3" xr3:uid="{0413D904-6402-4010-9CEE-EA4A78493FA8}" name="گروه خونی" dataDxfId="54"/>
    <tableColumn id="4" xr3:uid="{650752BA-F984-4006-BE57-9D68CB2F7F25}" name="آلرژی" dataDxfId="53"/>
    <tableColumn id="5" xr3:uid="{19E1D167-18B0-401E-8C23-FAE70D296C26}" name="بیماری زمینه‌ای" dataDxfId="52"/>
    <tableColumn id="6" xr3:uid="{6757F617-AF0E-4D28-925D-25A2D188977D}" name="داروهای مصرفی" dataDxfId="51"/>
    <tableColumn id="7" xr3:uid="{94D2BEE2-BE76-4E06-A1AE-75355975AD8F}" name="سابقه جراحی" dataDxfId="50"/>
    <tableColumn id="8" xr3:uid="{92AE412A-A679-4EEB-90B1-9766D412F1BA}" name="بیمه ورزشی" dataDxfId="49"/>
    <tableColumn id="9" xr3:uid="{75D3F1A9-D18A-4055-A52B-07705D053CB2}" name="تاریخ آخرین معاینه پزشکی" dataDxfId="48"/>
    <tableColumn id="10" xr3:uid="{7032652D-3297-4BD5-8274-5D61C7321E36}" name="پزشک معالج" dataDxfId="47"/>
    <tableColumn id="11" xr3:uid="{08CBCE57-4EA9-44AC-B677-A6B70FD8576A}" name="توضیحات" dataDxfId="4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17C4733-A64A-4E31-B893-D709096E688A}" name="InjuriesTbl" displayName="InjuriesTbl" ref="A1:O2" totalsRowShown="0" headerRowDxfId="45" dataDxfId="44">
  <autoFilter ref="A1:O2" xr:uid="{617C4733-A64A-4E31-B893-D709096E688A}"/>
  <tableColumns count="15">
    <tableColumn id="2" xr3:uid="{D16C522C-63D9-4715-AF0E-249BCC711282}" name="InjuryID" dataDxfId="43"/>
    <tableColumn id="3" xr3:uid="{4CBEB086-ABFD-48B3-9C1C-7529207F88B3}" name="کد ملی" dataDxfId="42"/>
    <tableColumn id="4" xr3:uid="{59BA6986-4ABC-45F4-82DE-96C4EE86D0CC}" name="تاریخ آسیب" dataDxfId="41"/>
    <tableColumn id="5" xr3:uid="{C1114470-D179-4B87-AC8F-F4D522E70572}" name="محل آسیب" dataDxfId="40"/>
    <tableColumn id="6" xr3:uid="{650C17A3-3F53-4178-B1DD-B91B0E91E3B5}" name="نوع آسیب" dataDxfId="39"/>
    <tableColumn id="7" xr3:uid="{91B9A9F4-738F-4C33-83A4-AA6EF413D5B5}" name="شدت آسیب" dataDxfId="38"/>
    <tableColumn id="8" xr3:uid="{A481726A-8706-43B8-989F-83DFD0E3DC36}" name="علت آسیب" dataDxfId="37"/>
    <tableColumn id="9" xr3:uid="{7E40BC88-1174-4A68-AACF-B54B4A320DCA}" name="در اردو؟" dataDxfId="36"/>
    <tableColumn id="10" xr3:uid="{DF22E728-A9E2-4168-B206-47AB4E79A21A}" name="در مسابقه؟" dataDxfId="35"/>
    <tableColumn id="11" xr3:uid="{B8AE9C35-EAB3-409B-9830-008B7478869D}" name="مدت دوری (روز)" dataDxfId="34"/>
    <tableColumn id="12" xr3:uid="{A9409B50-9766-4B1F-8751-2B82D5BF5B21}" name="تاریخ بازگشت" dataDxfId="33"/>
    <tableColumn id="13" xr3:uid="{B3EFD96F-8E19-4C06-908D-4C9B119505ED}" name="پزشک" dataDxfId="32"/>
    <tableColumn id="14" xr3:uid="{D1C5960A-E2D9-4B33-8C36-DA3C61950787}" name="فیزیوتراپیست" dataDxfId="31"/>
    <tableColumn id="15" xr3:uid="{B9B941DE-AEC9-4ECC-A525-7EB8C3C93257}" name="وضعیت" dataDxfId="30"/>
    <tableColumn id="16" xr3:uid="{A2A26DE3-04A7-4BD8-9AFF-16D994D18DEE}" name="توضیحات" dataDxfId="2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7BB106-B8C3-4120-8DF9-3A882A0C801A}" name="PlayerStatTbl" displayName="PlayerStatTbl" ref="A1:A5" totalsRowShown="0" headerRowDxfId="28" dataDxfId="27">
  <autoFilter ref="A1:A5" xr:uid="{717BB106-B8C3-4120-8DF9-3A882A0C801A}"/>
  <tableColumns count="1">
    <tableColumn id="1" xr3:uid="{60CC4091-EB28-4598-996C-0A3391B70ACC}" name="وضعیت بازیکن" dataDxfId="26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E35B69-9DA5-47C7-9F6A-D680FD74BA40}" name="StaffPosTbl" displayName="StaffPosTbl" ref="C1:C13" totalsRowShown="0" headerRowDxfId="25" dataDxfId="24">
  <autoFilter ref="C1:C13" xr:uid="{43E35B69-9DA5-47C7-9F6A-D680FD74BA40}"/>
  <tableColumns count="1">
    <tableColumn id="1" xr3:uid="{FC9293A1-5909-417D-9241-AD2F0DD940CB}" name="سمت ها" dataDxfId="2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6C9A318-DDC3-481E-AA25-F81374D8410C}" name="PlayerPosTbl" displayName="PlayerPosTbl" ref="G1:G6" totalsRowShown="0" headerRowDxfId="22" dataDxfId="21">
  <autoFilter ref="G1:G6" xr:uid="{E6C9A318-DDC3-481E-AA25-F81374D8410C}"/>
  <tableColumns count="1">
    <tableColumn id="1" xr3:uid="{055F9AC1-A565-47E3-B106-E16AE308C8D1}" name="پست بازیکن" dataDxfId="20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EF7809F-C05C-458D-973E-C3756DF71D71}" name="FootTbl" displayName="FootTbl" ref="E1:E4" totalsRowShown="0" headerRowDxfId="19" dataDxfId="18">
  <autoFilter ref="E1:E4" xr:uid="{FEF7809F-C05C-458D-973E-C3756DF71D71}"/>
  <tableColumns count="1">
    <tableColumn id="1" xr3:uid="{C2278093-CF73-4B85-8223-E5DA0CD57DE0}" name="پای تخصصی" dataDxfId="17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C4F0DEE-1F6A-43B7-9638-02045C255CEE}" name="ResultTbl" displayName="ResultTbl" ref="I1:I4" totalsRowShown="0" headerRowDxfId="16" dataDxfId="15">
  <autoFilter ref="I1:I4" xr:uid="{AC4F0DEE-1F6A-43B7-9638-02045C255CEE}"/>
  <tableColumns count="1">
    <tableColumn id="1" xr3:uid="{1BE2B68B-D3AE-41B6-B82C-E8F415064EB3}" name="نتیجه مسابقه" dataDxfId="1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8EE71D6-D940-4387-BF77-5B781D495AEB}" name="CampTypeTbl" displayName="CampTypeTbl" ref="K1:K3" totalsRowShown="0" headerRowDxfId="13" dataDxfId="12">
  <autoFilter ref="K1:K3" xr:uid="{78EE71D6-D940-4387-BF77-5B781D495AEB}"/>
  <tableColumns count="1">
    <tableColumn id="1" xr3:uid="{47C73524-7603-4E94-A4F7-A48704879A1B}" name="نوع اردو" dataDxfId="11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27E6DD-B2B1-433E-9F16-774DFDF77C19}" name="InjurLvlTbl" displayName="InjurLvlTbl" ref="M1:M4" totalsRowShown="0" headerRowDxfId="10" dataDxfId="9">
  <autoFilter ref="M1:M4" xr:uid="{0627E6DD-B2B1-433E-9F16-774DFDF77C19}"/>
  <tableColumns count="1">
    <tableColumn id="1" xr3:uid="{DE359BCA-8866-486A-80EB-F4767419E9CD}" name="شدت مصدومیت" dataDxfId="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1EE6462-D88B-4734-82BF-BBF6FB3FA5A9}" name="InjurStatTbl" displayName="InjurStatTbl" ref="O1:O4" totalsRowShown="0" headerRowDxfId="7" dataDxfId="6">
  <autoFilter ref="O1:O4" xr:uid="{C1EE6462-D88B-4734-82BF-BBF6FB3FA5A9}"/>
  <tableColumns count="1">
    <tableColumn id="1" xr3:uid="{E2C1DB8E-E33F-48DA-B6E3-716E7E74F71A}" name="وضعیت درمان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table" Target="../tables/table17.xml"/><Relationship Id="rId7" Type="http://schemas.openxmlformats.org/officeDocument/2006/relationships/table" Target="../tables/table21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Relationship Id="rId9" Type="http://schemas.openxmlformats.org/officeDocument/2006/relationships/table" Target="../tables/table2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DDD86-7C32-4B6A-930B-A522A505C183}">
  <sheetPr codeName="Sheet1"/>
  <dimension ref="A1"/>
  <sheetViews>
    <sheetView rightToLeft="1" zoomScale="115" zoomScaleNormal="115" workbookViewId="0">
      <selection activeCell="M14" sqref="M14"/>
    </sheetView>
  </sheetViews>
  <sheetFormatPr defaultColWidth="8.69921875" defaultRowHeight="15.6"/>
  <cols>
    <col min="1" max="16384" width="8.69921875" style="6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D82AC-D227-46C1-8F1C-92E9B9075DDF}">
  <sheetPr codeName="Sheet2"/>
  <dimension ref="A1:Z28"/>
  <sheetViews>
    <sheetView rightToLeft="1" zoomScale="85" zoomScaleNormal="85" workbookViewId="0">
      <selection activeCell="B1" sqref="B1"/>
    </sheetView>
  </sheetViews>
  <sheetFormatPr defaultColWidth="8.69921875" defaultRowHeight="21.6"/>
  <cols>
    <col min="1" max="1" width="8.69921875" style="7"/>
    <col min="2" max="2" width="12.09765625" style="7" bestFit="1" customWidth="1"/>
    <col min="3" max="3" width="6.69921875" style="7" customWidth="1"/>
    <col min="4" max="4" width="15.69921875" style="11" customWidth="1"/>
    <col min="5" max="6" width="18.69921875" style="11" customWidth="1"/>
    <col min="7" max="7" width="8.69921875" style="11"/>
    <col min="8" max="8" width="15.69921875" style="11" customWidth="1"/>
    <col min="9" max="9" width="18.69921875" style="11" customWidth="1"/>
    <col min="10" max="10" width="8.69921875" style="11"/>
    <col min="11" max="11" width="8.69921875" style="7"/>
    <col min="12" max="12" width="26.3984375" style="7" customWidth="1"/>
    <col min="13" max="13" width="8.69921875" style="7" customWidth="1"/>
    <col min="14" max="14" width="8.69921875" style="7"/>
    <col min="15" max="15" width="12.09765625" style="7" bestFit="1" customWidth="1"/>
    <col min="16" max="24" width="8.69921875" style="7"/>
    <col min="25" max="25" width="14.8984375" style="7" customWidth="1"/>
    <col min="26" max="26" width="12.796875" style="7" bestFit="1" customWidth="1"/>
    <col min="27" max="16384" width="8.69921875" style="7"/>
  </cols>
  <sheetData>
    <row r="1" spans="1:26" ht="22.2" thickBot="1">
      <c r="B1" s="34" t="s">
        <v>429</v>
      </c>
      <c r="Z1" s="35">
        <f>IF($L$7="","",$L$7)</f>
        <v>3876543210</v>
      </c>
    </row>
    <row r="2" spans="1:26">
      <c r="B2" s="34">
        <f ca="1">TODAY()</f>
        <v>46262</v>
      </c>
    </row>
    <row r="5" spans="1:26">
      <c r="A5" s="8"/>
      <c r="B5" s="8"/>
      <c r="C5" s="8"/>
      <c r="D5" s="16" t="s">
        <v>3</v>
      </c>
      <c r="E5" s="17" t="s">
        <v>1</v>
      </c>
      <c r="F5" s="17" t="s">
        <v>2</v>
      </c>
      <c r="G5" s="17" t="s">
        <v>206</v>
      </c>
      <c r="H5" s="17" t="s">
        <v>7</v>
      </c>
      <c r="I5" s="17" t="s">
        <v>204</v>
      </c>
      <c r="J5" s="18" t="s">
        <v>11</v>
      </c>
      <c r="K5" s="8"/>
      <c r="L5" s="8"/>
      <c r="M5" s="8"/>
    </row>
    <row r="6" spans="1:26" ht="43.2" customHeight="1">
      <c r="A6" s="8"/>
      <c r="B6" s="8"/>
      <c r="C6" s="8"/>
      <c r="D6" s="27" cm="1">
        <f t="array" ref="D6">IF($L$7="","",IFERROR(_xlfn._xlws.FILTER(Players!$A$2:$A$1006,Players!$A$2:$A$1006&amp;""=$L$7&amp;""),""))</f>
        <v>3876543210</v>
      </c>
      <c r="E6" s="28" t="str" cm="1">
        <f t="array" ref="E6">IF($L$7="","",IFERROR(_xlfn._xlws.FILTER(Players!$B$2:$B$1006,Players!$A$2:$A$1006&amp;""=$L$7&amp;""),""))</f>
        <v>مهدی</v>
      </c>
      <c r="F6" s="28" t="str" cm="1">
        <f t="array" ref="F6">IF($L$7="","",IFERROR(_xlfn._xlws.FILTER(Players!$C$2:$C$1006,Players!$A$2:$A$1006&amp;""=$L$7&amp;""),""))</f>
        <v>کریمی</v>
      </c>
      <c r="G6" s="28" cm="1">
        <f t="array" ref="G6">IF($L$7="","",IFERROR(_xlfn.LET(_xlpm.b,_xlfn._xlws.FILTER(Players!$D$2:$D$1006,Players!$A$2:$A$1006&amp;""=$L$7&amp;""),_xlpm.by,VALUE(LEFT(_xlpm.b,4)),_xlpm.bm,VALUE(MID(_xlpm.b,6,2)),_xlpm.bd,VALUE(RIGHT(_xlpm.b,2)),_xlpm.cy,VALUE(LEFT($B$1,4)),_xlpm.cm,VALUE(MID($B$1,6,2)),_xlpm.cd,VALUE(RIGHT($B$1,2)),_xlpm.cy-_xlpm.by-IF(OR(_xlpm.cm&lt;_xlpm.bm,AND(_xlpm.cm=_xlpm.bm,_xlpm.cd&lt;_xlpm.bd)),1,0)),""))</f>
        <v>28</v>
      </c>
      <c r="H6" s="28" t="str" cm="1">
        <f t="array" ref="H6">IF($L$7="","",IFERROR(_xlfn._xlws.FILTER(Players!$F$2:$F$1006,Players!$A$2:$A$1006&amp;""=$L$7&amp;""),""))</f>
        <v>مهاجم</v>
      </c>
      <c r="I6" s="28" t="str" cm="1">
        <f t="array" ref="I6">IF($L$7="","",IFERROR(_xlfn.XLOOKUP(_xlfn._xlws.FILTER(ClubHistoryTbl[ClubID],(ClubHistoryTbl[کد ملی]&amp;""=$L$7&amp;"")*(ClubHistoryTbl[تاریخ پایان]="")),ClubsTbl[ClubID],ClubsTbl[نام باشگاه]),""))</f>
        <v>عقاب‌های جنوب</v>
      </c>
      <c r="J6" s="29" t="str" cm="1">
        <f t="array" ref="J6">IF($L$7="","",IFERROR(_xlfn._xlws.FILTER(Players!$L$2:$L$1006,Players!$A$2:$A$1006&amp;""=$L$7&amp;""),""))</f>
        <v>دعوت نشده</v>
      </c>
      <c r="K6" s="8"/>
      <c r="L6" s="20" t="s">
        <v>213</v>
      </c>
      <c r="M6" s="8"/>
    </row>
    <row r="7" spans="1:26" ht="43.2" customHeight="1">
      <c r="A7" s="8"/>
      <c r="B7" s="8"/>
      <c r="C7" s="8"/>
      <c r="D7" s="30"/>
      <c r="E7" s="31"/>
      <c r="F7" s="31"/>
      <c r="G7" s="31"/>
      <c r="H7" s="31"/>
      <c r="I7" s="31"/>
      <c r="J7" s="32"/>
      <c r="K7" s="8"/>
      <c r="L7" s="26">
        <v>3876543210</v>
      </c>
      <c r="M7" s="8"/>
      <c r="O7" s="33">
        <v>7321890543</v>
      </c>
    </row>
    <row r="8" spans="1:26" ht="43.2" customHeight="1">
      <c r="A8" s="8"/>
      <c r="B8" s="8"/>
      <c r="C8" s="8"/>
      <c r="D8" s="30"/>
      <c r="E8" s="31"/>
      <c r="F8" s="31"/>
      <c r="G8" s="31"/>
      <c r="H8" s="31"/>
      <c r="I8" s="31"/>
      <c r="J8" s="32"/>
      <c r="K8" s="8"/>
      <c r="L8" s="20" t="s">
        <v>1</v>
      </c>
      <c r="M8" s="9"/>
      <c r="O8" s="7">
        <v>3876543210</v>
      </c>
    </row>
    <row r="9" spans="1:26" ht="43.2" customHeight="1">
      <c r="A9" s="8"/>
      <c r="B9" s="8"/>
      <c r="C9" s="8"/>
      <c r="D9" s="30"/>
      <c r="E9" s="31"/>
      <c r="F9" s="31"/>
      <c r="G9" s="31"/>
      <c r="H9" s="31"/>
      <c r="I9" s="31"/>
      <c r="J9" s="32"/>
      <c r="K9" s="8"/>
      <c r="L9" s="19"/>
      <c r="M9" s="8"/>
      <c r="N9" s="12"/>
    </row>
    <row r="10" spans="1:26" ht="43.2" customHeight="1">
      <c r="A10" s="8"/>
      <c r="B10" s="8"/>
      <c r="C10" s="8"/>
      <c r="D10" s="30"/>
      <c r="E10" s="31"/>
      <c r="F10" s="31"/>
      <c r="G10" s="31"/>
      <c r="H10" s="31"/>
      <c r="I10" s="31"/>
      <c r="J10" s="32"/>
      <c r="K10" s="8"/>
      <c r="L10" s="20" t="s">
        <v>2</v>
      </c>
      <c r="M10" s="8"/>
    </row>
    <row r="11" spans="1:26" ht="43.2" customHeight="1">
      <c r="A11" s="8"/>
      <c r="B11" s="8"/>
      <c r="C11" s="8"/>
      <c r="D11" s="30"/>
      <c r="E11" s="31"/>
      <c r="F11" s="31"/>
      <c r="G11" s="31"/>
      <c r="H11" s="31"/>
      <c r="I11" s="31"/>
      <c r="J11" s="32"/>
      <c r="K11" s="8"/>
      <c r="L11" s="21"/>
      <c r="M11" s="9"/>
    </row>
    <row r="12" spans="1:26" ht="43.2" customHeight="1">
      <c r="A12" s="8"/>
      <c r="B12" s="8"/>
      <c r="C12" s="8"/>
      <c r="D12" s="30"/>
      <c r="E12" s="31"/>
      <c r="F12" s="31"/>
      <c r="G12" s="31"/>
      <c r="H12" s="31"/>
      <c r="I12" s="31"/>
      <c r="J12" s="32"/>
      <c r="K12" s="8"/>
      <c r="L12" s="20" t="s">
        <v>7</v>
      </c>
      <c r="M12" s="8"/>
      <c r="N12" s="12"/>
    </row>
    <row r="13" spans="1:26" ht="43.2" customHeight="1">
      <c r="A13" s="8"/>
      <c r="B13" s="8"/>
      <c r="C13" s="8"/>
      <c r="D13" s="30"/>
      <c r="E13" s="31"/>
      <c r="F13" s="31"/>
      <c r="G13" s="31"/>
      <c r="H13" s="31"/>
      <c r="I13" s="31"/>
      <c r="J13" s="32"/>
      <c r="K13" s="8"/>
      <c r="L13" s="19"/>
      <c r="M13" s="8"/>
    </row>
    <row r="14" spans="1:26" ht="43.2" customHeight="1">
      <c r="A14" s="8"/>
      <c r="B14" s="8"/>
      <c r="C14" s="8"/>
      <c r="D14" s="30"/>
      <c r="E14" s="31"/>
      <c r="F14" s="31"/>
      <c r="G14" s="31"/>
      <c r="H14" s="31"/>
      <c r="I14" s="31"/>
      <c r="J14" s="32"/>
      <c r="K14" s="8"/>
      <c r="L14" s="20" t="s">
        <v>214</v>
      </c>
      <c r="M14" s="9"/>
    </row>
    <row r="15" spans="1:26" ht="43.2" customHeight="1">
      <c r="A15" s="8"/>
      <c r="B15" s="8"/>
      <c r="C15" s="8"/>
      <c r="D15" s="30"/>
      <c r="E15" s="31"/>
      <c r="F15" s="31"/>
      <c r="G15" s="31"/>
      <c r="H15" s="31"/>
      <c r="I15" s="31"/>
      <c r="J15" s="32"/>
      <c r="K15" s="8"/>
      <c r="L15" s="19"/>
      <c r="M15" s="8"/>
      <c r="N15" s="12"/>
    </row>
    <row r="16" spans="1:26" ht="43.2" customHeight="1">
      <c r="A16" s="8"/>
      <c r="B16" s="8"/>
      <c r="C16" s="8"/>
      <c r="D16" s="30" t="str" cm="1">
        <f t="array" ref="D16">IFERROR(INDEX(PlayerTbl[کد ملی],ROWS($D$6:D16)),"")</f>
        <v/>
      </c>
      <c r="E16" s="31" t="str">
        <f>IF($D16="","",_xlfn.XLOOKUP($D16,PlayerTbl[کد ملی],PlayerTbl[نام]))</f>
        <v/>
      </c>
      <c r="F16" s="31" t="str">
        <f>IF($D16="","",_xlfn.XLOOKUP($D16,PlayerTbl[کد ملی],PlayerTbl[نام خانوادگی]))</f>
        <v/>
      </c>
      <c r="G16" s="31"/>
      <c r="H16" s="31" t="str">
        <f>IF($D16="","",_xlfn.XLOOKUP($D16,PlayerTbl[کد ملی],PlayerTbl[پست اصلی]))</f>
        <v/>
      </c>
      <c r="I16" s="31"/>
      <c r="J16" s="32" t="str">
        <f>IF($D16="","",_xlfn.XLOOKUP($D16,PlayerTbl[کد ملی],PlayerTbl[وضعیت]))</f>
        <v/>
      </c>
      <c r="K16" s="8"/>
      <c r="L16" s="20" t="s">
        <v>11</v>
      </c>
      <c r="M16" s="8"/>
    </row>
    <row r="17" spans="1:13" ht="43.2" customHeight="1">
      <c r="A17" s="8"/>
      <c r="B17" s="8"/>
      <c r="C17" s="8"/>
      <c r="D17" s="30" t="str" cm="1">
        <f t="array" ref="D17">IFERROR(INDEX(PlayerTbl[کد ملی],ROWS($D$6:D17)),"")</f>
        <v/>
      </c>
      <c r="E17" s="31" t="str">
        <f>IF($D17="","",_xlfn.XLOOKUP($D17,PlayerTbl[کد ملی],PlayerTbl[نام]))</f>
        <v/>
      </c>
      <c r="F17" s="31" t="str">
        <f>IF($D17="","",_xlfn.XLOOKUP($D17,PlayerTbl[کد ملی],PlayerTbl[نام خانوادگی]))</f>
        <v/>
      </c>
      <c r="G17" s="31"/>
      <c r="H17" s="31" t="str">
        <f>IF($D17="","",_xlfn.XLOOKUP($D17,PlayerTbl[کد ملی],PlayerTbl[پست اصلی]))</f>
        <v/>
      </c>
      <c r="I17" s="31"/>
      <c r="J17" s="32" t="str">
        <f>IF($D17="","",_xlfn.XLOOKUP($D17,PlayerTbl[کد ملی],PlayerTbl[وضعیت]))</f>
        <v/>
      </c>
      <c r="K17" s="8"/>
      <c r="L17" s="19"/>
      <c r="M17" s="9"/>
    </row>
    <row r="18" spans="1:13" ht="43.2" customHeight="1">
      <c r="A18" s="8"/>
      <c r="B18" s="8"/>
      <c r="C18" s="8"/>
      <c r="D18" s="22" t="str" cm="1">
        <f t="array" ref="D18">IFERROR(INDEX(PlayerTbl[کد ملی],ROWS($D$6:D18)),"")</f>
        <v/>
      </c>
      <c r="E18" s="22" t="str">
        <f>IF($D18="","",_xlfn.XLOOKUP($D18,PlayerTbl[کد ملی],PlayerTbl[نام]))</f>
        <v/>
      </c>
      <c r="F18" s="22" t="str">
        <f>IF($D18="","",_xlfn.XLOOKUP($D18,PlayerTbl[کد ملی],PlayerTbl[نام خانوادگی]))</f>
        <v/>
      </c>
      <c r="G18" s="22"/>
      <c r="H18" s="22" t="str">
        <f>IF($D18="","",_xlfn.XLOOKUP($D18,PlayerTbl[کد ملی],PlayerTbl[پست اصلی]))</f>
        <v/>
      </c>
      <c r="I18" s="22"/>
      <c r="J18" s="22" t="str">
        <f>IF($D18="","",_xlfn.XLOOKUP($D18,PlayerTbl[کد ملی],PlayerTbl[وضعیت]))</f>
        <v/>
      </c>
      <c r="K18" s="8"/>
      <c r="L18" s="8"/>
      <c r="M18" s="8"/>
    </row>
    <row r="19" spans="1:13" s="24" customFormat="1">
      <c r="A19" s="23"/>
      <c r="B19" s="23"/>
      <c r="C19" s="23"/>
      <c r="D19" s="25" t="str" cm="1">
        <f t="array" ref="D19">IFERROR(INDEX(PlayerTbl[کد ملی],ROWS($D$6:D19)),"")</f>
        <v/>
      </c>
      <c r="E19" s="25" t="str">
        <f>IF($D19="","",_xlfn.XLOOKUP($D19,PlayerTbl[کد ملی],PlayerTbl[نام]))</f>
        <v/>
      </c>
      <c r="F19" s="25" t="str">
        <f>IF($D19="","",_xlfn.XLOOKUP($D19,PlayerTbl[کد ملی],PlayerTbl[نام خانوادگی]))</f>
        <v/>
      </c>
      <c r="G19" s="25"/>
      <c r="H19" s="25" t="str">
        <f>IF($D19="","",_xlfn.XLOOKUP($D19,PlayerTbl[کد ملی],PlayerTbl[پست اصلی]))</f>
        <v/>
      </c>
      <c r="I19" s="25"/>
      <c r="J19" s="25" t="str">
        <f>IF($D19="","",_xlfn.XLOOKUP($D19,PlayerTbl[کد ملی],PlayerTbl[وضعیت]))</f>
        <v/>
      </c>
      <c r="K19" s="23"/>
      <c r="L19" s="23"/>
      <c r="M19" s="23"/>
    </row>
    <row r="20" spans="1:13">
      <c r="A20" s="8"/>
      <c r="B20" s="8"/>
      <c r="C20" s="8"/>
      <c r="D20" s="10"/>
      <c r="E20" s="10"/>
      <c r="F20" s="10"/>
      <c r="G20" s="10"/>
      <c r="H20" s="10"/>
      <c r="I20" s="10"/>
      <c r="J20" s="10"/>
      <c r="K20" s="8"/>
      <c r="L20" s="8"/>
      <c r="M20" s="8"/>
    </row>
    <row r="21" spans="1:13">
      <c r="A21" s="8"/>
      <c r="B21" s="8"/>
      <c r="C21" s="8"/>
      <c r="D21" s="10"/>
      <c r="E21" s="10"/>
      <c r="F21" s="10"/>
      <c r="G21" s="10"/>
      <c r="H21" s="10"/>
      <c r="I21" s="10"/>
      <c r="J21" s="10"/>
      <c r="K21" s="8"/>
      <c r="L21" s="8"/>
      <c r="M21" s="8"/>
    </row>
    <row r="22" spans="1:13" s="15" customFormat="1">
      <c r="A22" s="13"/>
      <c r="B22" s="13"/>
      <c r="C22" s="13"/>
      <c r="D22" s="14"/>
      <c r="E22" s="14"/>
      <c r="F22" s="14"/>
      <c r="G22" s="14"/>
      <c r="H22" s="14"/>
      <c r="I22" s="14"/>
      <c r="J22" s="14"/>
      <c r="K22" s="13"/>
      <c r="L22" s="13"/>
      <c r="M22" s="13"/>
    </row>
    <row r="23" spans="1:13">
      <c r="A23" s="8"/>
      <c r="B23" s="8"/>
      <c r="C23" s="8"/>
      <c r="D23" s="10"/>
      <c r="E23" s="10"/>
      <c r="F23" s="10"/>
      <c r="G23" s="10"/>
      <c r="H23" s="10"/>
      <c r="I23" s="10"/>
      <c r="J23" s="10"/>
      <c r="K23" s="8"/>
      <c r="L23" s="8"/>
      <c r="M23" s="8"/>
    </row>
    <row r="24" spans="1:13">
      <c r="A24" s="8"/>
      <c r="B24" s="8"/>
      <c r="C24" s="8"/>
      <c r="D24" s="10"/>
      <c r="E24" s="10"/>
      <c r="F24" s="10"/>
      <c r="G24" s="10"/>
      <c r="H24" s="10"/>
      <c r="I24" s="10"/>
      <c r="J24" s="10"/>
      <c r="K24" s="8"/>
      <c r="L24" s="8"/>
      <c r="M24" s="8"/>
    </row>
    <row r="25" spans="1:13">
      <c r="A25" s="8"/>
      <c r="B25" s="8"/>
      <c r="C25" s="8"/>
      <c r="D25" s="10"/>
      <c r="E25" s="10"/>
      <c r="F25" s="10"/>
      <c r="G25" s="10"/>
      <c r="H25" s="10"/>
      <c r="I25" s="10"/>
      <c r="J25" s="10"/>
      <c r="K25" s="8"/>
      <c r="L25" s="8"/>
      <c r="M25" s="8"/>
    </row>
    <row r="26" spans="1:13">
      <c r="A26" s="8"/>
      <c r="B26" s="8"/>
      <c r="C26" s="8"/>
      <c r="D26" s="10"/>
      <c r="E26" s="10"/>
      <c r="F26" s="10"/>
      <c r="G26" s="10"/>
      <c r="H26" s="10"/>
      <c r="I26" s="10"/>
      <c r="J26" s="10"/>
      <c r="K26" s="8"/>
      <c r="L26" s="8"/>
      <c r="M26" s="8"/>
    </row>
    <row r="27" spans="1:13">
      <c r="A27" s="8"/>
      <c r="B27" s="8"/>
      <c r="C27" s="8"/>
      <c r="D27" s="10"/>
      <c r="E27" s="10"/>
      <c r="F27" s="10"/>
      <c r="G27" s="10"/>
      <c r="H27" s="10"/>
      <c r="I27" s="10"/>
      <c r="J27" s="10"/>
      <c r="K27" s="8"/>
      <c r="L27" s="8"/>
      <c r="M27" s="8"/>
    </row>
    <row r="28" spans="1:13">
      <c r="A28" s="8"/>
      <c r="B28" s="8"/>
      <c r="C28" s="8"/>
      <c r="D28" s="10"/>
      <c r="E28" s="10"/>
      <c r="F28" s="10"/>
      <c r="G28" s="10"/>
      <c r="H28" s="10"/>
      <c r="I28" s="10"/>
      <c r="J28" s="10"/>
      <c r="K28" s="8"/>
      <c r="L28" s="8"/>
      <c r="M28" s="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6D931-10AE-46B3-86D4-FC6F54ADE283}">
  <sheetPr codeName="Sheet20"/>
  <dimension ref="A6:AA57"/>
  <sheetViews>
    <sheetView rightToLeft="1" topLeftCell="A7" zoomScale="70" zoomScaleNormal="70" workbookViewId="0">
      <selection activeCell="C14" sqref="C14:D14"/>
    </sheetView>
  </sheetViews>
  <sheetFormatPr defaultRowHeight="15.6"/>
  <cols>
    <col min="1" max="1" width="13.59765625" style="6" customWidth="1"/>
    <col min="2" max="2" width="11.19921875" style="6" customWidth="1"/>
    <col min="3" max="3" width="16.69921875" style="6" customWidth="1"/>
    <col min="4" max="4" width="10.59765625" style="6" bestFit="1" customWidth="1"/>
    <col min="5" max="6" width="11.09765625" style="6" bestFit="1" customWidth="1"/>
    <col min="7" max="7" width="11.296875" style="6" bestFit="1" customWidth="1"/>
    <col min="8" max="11" width="10.69921875" style="6" customWidth="1"/>
    <col min="12" max="24" width="8.796875" style="6"/>
    <col min="25" max="25" width="9.8984375" style="6" bestFit="1" customWidth="1"/>
    <col min="26" max="26" width="37.8984375" style="54" bestFit="1" customWidth="1"/>
    <col min="27" max="16384" width="8.796875" style="6"/>
  </cols>
  <sheetData>
    <row r="6" spans="1:27" ht="19.8">
      <c r="A6" s="68"/>
      <c r="B6" s="68"/>
      <c r="C6" s="68"/>
      <c r="D6" s="68"/>
      <c r="E6" s="68"/>
      <c r="F6" s="68"/>
      <c r="G6" s="68"/>
      <c r="H6" s="68"/>
      <c r="I6" s="68"/>
      <c r="J6" s="68"/>
      <c r="Z6" s="58" t="str">
        <f>IF($D$7="","",TRIM(LEFT($D$7,FIND("|",$D$7&amp;"|")-1)))</f>
        <v>CAMP-102</v>
      </c>
      <c r="AA6" s="6" t="s">
        <v>552</v>
      </c>
    </row>
    <row r="7" spans="1:27" ht="25.05" customHeight="1">
      <c r="A7" s="68"/>
      <c r="B7" s="68"/>
      <c r="C7" s="68"/>
      <c r="D7" s="103" t="s">
        <v>589</v>
      </c>
      <c r="E7" s="103"/>
      <c r="F7" s="103"/>
      <c r="G7" s="103"/>
      <c r="H7" s="68"/>
      <c r="I7" s="68"/>
      <c r="J7" s="68"/>
      <c r="Z7" s="54" t="str" cm="1">
        <f t="array" ref="Z7:Z10">_xlfn._xlws.FILTER(CampsTbl[CampID]&amp;" | "&amp;CampsTbl[عنوان اردو],CampsTbl[CampID]&lt;&gt;"")</f>
        <v>CAMP-101 | اردوی آماده‌سازی جام جهانی ۲۰۲۶</v>
      </c>
    </row>
    <row r="8" spans="1:27" ht="19.8">
      <c r="A8" s="68"/>
      <c r="B8" s="68"/>
      <c r="C8" s="68"/>
      <c r="D8" s="68"/>
      <c r="E8" s="68"/>
      <c r="F8" s="68"/>
      <c r="G8" s="68"/>
      <c r="H8" s="68"/>
      <c r="I8" s="68"/>
      <c r="J8" s="68"/>
      <c r="Z8" s="54" t="str">
        <v>CAMP-102 | اردوی تدارکاتی پیش از مسابقات آسیایی</v>
      </c>
    </row>
    <row r="9" spans="1:27" s="40" customFormat="1" ht="19.95" customHeight="1">
      <c r="A9" s="63" t="s">
        <v>536</v>
      </c>
      <c r="B9" s="101" t="str">
        <f>IF($Z$6="","",IFERROR(_xlfn.XLOOKUP($Z$6,CampsTbl[CampID],CampsTbl[عنوان اردو]),""))</f>
        <v>اردوی تدارکاتی پیش از مسابقات آسیایی</v>
      </c>
      <c r="C9" s="102"/>
      <c r="D9" s="63" t="s">
        <v>537</v>
      </c>
      <c r="E9" s="101" t="str">
        <f>IF($Z$6="","",IFERROR(_xlfn.XLOOKUP($Z$6,CampsTbl[CampID],CampsTbl[شهر]),""))</f>
        <v>دبی</v>
      </c>
      <c r="F9" s="102"/>
      <c r="G9" s="63" t="s">
        <v>538</v>
      </c>
      <c r="H9" s="64" t="str">
        <f>IF($Z$6="","",IFERROR(_xlfn.XLOOKUP($Z$6,CampsTbl[CampID],CampsTbl[تاریخ شروع]),""))</f>
        <v>۱۴۰۵/۰۳/۱۰</v>
      </c>
      <c r="I9" s="63" t="s">
        <v>539</v>
      </c>
      <c r="J9" s="64" t="str">
        <f>IF($Z$6="","",IFERROR(_xlfn.XLOOKUP($Z$6,CampsTbl[CampID],CampsTbl[تاریخ پایان]),""))</f>
        <v>۱۴۰۵/۰۳/۲۰</v>
      </c>
      <c r="Z9" s="55" t="str">
        <v>CAMP-103 | اردوی نهایی انتخابی تیم ملی</v>
      </c>
    </row>
    <row r="10" spans="1:27" s="40" customFormat="1" ht="18.600000000000001">
      <c r="A10" s="63" t="s">
        <v>731</v>
      </c>
      <c r="B10" s="101">
        <f>IF($Z$6="","",IFERROR(_xlfn.XLOOKUP($Z$6,CampsTbl[CampID],CampsTbl[سرمربی]),""))</f>
        <v>5123876498</v>
      </c>
      <c r="C10" s="102"/>
      <c r="D10" s="63" t="s">
        <v>732</v>
      </c>
      <c r="E10" s="101" t="str">
        <f>IF($Z$6="","",IFERROR(_xlfn.XLOOKUP($Z$6,CampsTbl[CampID],CampsTbl[کشور]),""))</f>
        <v>امارات</v>
      </c>
      <c r="F10" s="102"/>
      <c r="G10" s="63" t="s">
        <v>730</v>
      </c>
      <c r="H10" s="64" t="str">
        <f>IF($Z$6="","",IFERROR(_xlfn.XLOOKUP($Z$6,CampsTbl[CampID],CampsTbl[نوع اردو]),""))</f>
        <v>خارجی</v>
      </c>
      <c r="I10" s="63" t="s">
        <v>729</v>
      </c>
      <c r="J10" s="64" t="str">
        <f>IF($Z$6="","",IFERROR(_xlfn.XLOOKUP($Z$6,CampsTbl[CampID],CampsTbl[هدف اردو (آماده‌سازی، انتخابی، ریکاوری، ...)]),""))</f>
        <v>انتخابی</v>
      </c>
      <c r="Z10" s="55" t="str">
        <v>CAMP-104 | اردوی ریکاوری و بازیابی پس از مسابقات</v>
      </c>
    </row>
    <row r="11" spans="1:27" s="40" customFormat="1" ht="18.600000000000001">
      <c r="A11" s="63" t="s">
        <v>733</v>
      </c>
      <c r="B11" s="101">
        <f>IF($Z$6="","",IFERROR(_xlfn.XLOOKUP($Z$6,CampsTbl[CampID],CampsTbl[مسئول اردو (StaffID)]),""))</f>
        <v>5678901534</v>
      </c>
      <c r="C11" s="102"/>
      <c r="D11" s="63" t="s">
        <v>734</v>
      </c>
      <c r="E11" s="101" t="str">
        <f>IF($Z$6="","",IFERROR(_xlfn.XLOOKUP($Z$6,CampsTbl[CampID],CampsTbl[محل اردو]),""))</f>
        <v>کمپ ورزشی الشعب، زمین شماره ۲</v>
      </c>
      <c r="F11" s="102"/>
      <c r="G11" s="63" t="s">
        <v>735</v>
      </c>
      <c r="H11" s="111" t="str">
        <f>IF($Z$6="","",IFERROR(_xlfn.XLOOKUP($Z$6,CampsTbl[CampID],CampsTbl[توضیحات]),""))</f>
        <v>اردوی خارجی برای هماهنگی با تیم‌های اماراتی و قطری</v>
      </c>
      <c r="I11" s="111"/>
      <c r="J11" s="112"/>
      <c r="Z11" s="55"/>
    </row>
    <row r="12" spans="1:27" s="40" customFormat="1" ht="18.600000000000001">
      <c r="A12" s="65"/>
      <c r="B12" s="65"/>
      <c r="C12" s="65"/>
      <c r="D12" s="65"/>
      <c r="E12" s="65"/>
      <c r="F12" s="65"/>
      <c r="G12" s="65"/>
      <c r="H12" s="65"/>
      <c r="I12" s="65"/>
      <c r="J12" s="65"/>
      <c r="Z12" s="55"/>
    </row>
    <row r="13" spans="1:27" s="40" customFormat="1" ht="18.600000000000001">
      <c r="A13" s="100" t="s">
        <v>551</v>
      </c>
      <c r="B13" s="100"/>
      <c r="C13" s="109" t="s">
        <v>540</v>
      </c>
      <c r="D13" s="110"/>
      <c r="E13" s="108" t="s">
        <v>51</v>
      </c>
      <c r="F13" s="110"/>
      <c r="G13" s="108" t="s">
        <v>52</v>
      </c>
      <c r="H13" s="109"/>
      <c r="I13" s="65"/>
      <c r="J13" s="65"/>
      <c r="Y13" s="59" t="str" cm="1">
        <f t="array" ref="Y13">IF($B$17="","",IFERROR(_xlfn.XLOOKUP($B$17,_xlfn.ANCHORARRAY(B13),_xlfn.ANCHORARRAY(A13)),""))</f>
        <v/>
      </c>
      <c r="Z13" s="55"/>
    </row>
    <row r="14" spans="1:27" ht="19.8">
      <c r="A14" s="100"/>
      <c r="B14" s="100"/>
      <c r="C14" s="106" t="s">
        <v>590</v>
      </c>
      <c r="D14" s="107"/>
      <c r="E14" s="105" t="s">
        <v>549</v>
      </c>
      <c r="F14" s="107"/>
      <c r="G14" s="105" t="s">
        <v>476</v>
      </c>
      <c r="H14" s="106"/>
      <c r="I14" s="68"/>
      <c r="J14" s="68"/>
      <c r="Z14" s="57"/>
    </row>
    <row r="18" spans="1:27" s="42" customFormat="1" ht="16.2">
      <c r="A18" s="41" t="s">
        <v>3</v>
      </c>
      <c r="B18" s="41" t="s">
        <v>1</v>
      </c>
      <c r="C18" s="41" t="s">
        <v>2</v>
      </c>
      <c r="D18" s="41" t="s">
        <v>51</v>
      </c>
      <c r="E18" s="41" t="s">
        <v>472</v>
      </c>
      <c r="F18" s="41" t="s">
        <v>52</v>
      </c>
      <c r="G18" s="41" t="s">
        <v>53</v>
      </c>
      <c r="H18" s="41" t="s">
        <v>54</v>
      </c>
      <c r="I18" s="113" t="s">
        <v>55</v>
      </c>
      <c r="J18" s="113"/>
      <c r="Z18" s="54"/>
    </row>
    <row r="19" spans="1:27" s="8" customFormat="1" ht="18.600000000000001">
      <c r="A19" s="51" cm="1">
        <f t="array" ref="A19:A24">_xlfn._xlws.FILTER(CampAttTbl[کد ملی],CampAttTbl[CampID]=$Z$6,"")</f>
        <v>7321890543</v>
      </c>
      <c r="B19" s="51" t="str" cm="1">
        <f t="array" ref="B19:B24">IF(_xlfn.ANCHORARRAY(A19)="","",IFERROR(_xlfn.XLOOKUP(_xlfn.ANCHORARRAY(A19),PlayerTbl[کد ملی],PlayerTbl[نام]),""))</f>
        <v>حسین</v>
      </c>
      <c r="C19" s="51" t="str" cm="1">
        <f t="array" ref="C19:C24">IF(_xlfn.ANCHORARRAY(A19)="","",IFERROR(_xlfn.XLOOKUP(_xlfn.ANCHORARRAY(A19),PlayerTbl[کد ملی],PlayerTbl[نام خانوادگی]),""))</f>
        <v>نوری</v>
      </c>
      <c r="D19" s="51" t="str" cm="1">
        <f t="array" ref="D19:D24">IF($Z$6="","",IFERROR(_xlfn._xlws.FILTER(CampAttTbl[وضعیت دعوت],CampAttTbl[CampID]=$Z$6),""))</f>
        <v>دعوت شده</v>
      </c>
      <c r="E19" s="51" t="str" cm="1">
        <f t="array" ref="E19:E24">IF($Z$6="","",IFERROR(_xlfn._xlws.FILTER(CampAttTbl[تاریخ دعوت],CampAttTbl[CampID]=$Z$6),""))</f>
        <v>۱۴۰۵/۰۳/۰۵</v>
      </c>
      <c r="F19" s="51" t="str" cm="1">
        <f t="array" ref="F19:F24">IF($Z$6="","",IFERROR(_xlfn._xlws.FILTER(CampAttTbl[وضعیت حضور],CampAttTbl[CampID]=$Z$6),""))</f>
        <v>غیبت موجه</v>
      </c>
      <c r="G19" s="51" t="str" cm="1">
        <f t="array" ref="G19:G24">IF($Z$6="","",IFERROR(_xlfn._xlws.FILTER(CampAttTbl[تاریخ ورود],CampAttTbl[CampID]=$Z$6),""))</f>
        <v>۱۴۰۵/۰۳/۱۰</v>
      </c>
      <c r="H19" s="51" t="str" cm="1">
        <f t="array" ref="H19:H24">IF($Z$6="","",IFERROR(_xlfn._xlws.FILTER(CampAttTbl[تاریخ خروج],CampAttTbl[CampID]=$Z$6),""))</f>
        <v>۱۴۰۵/۰۳/۲۰</v>
      </c>
      <c r="I19" s="52" t="str" cm="1">
        <f t="array" ref="I19:I24">IF($Z$6="","",IFERROR(_xlfn._xlws.FILTER(CampAttTbl[علت غیبت],CampAttTbl[CampID]=$Z$6),""))</f>
        <v>-</v>
      </c>
      <c r="J19" s="52"/>
      <c r="Z19" s="56"/>
      <c r="AA19" s="8" t="str" cm="1">
        <f t="array" ref="AA19:AA24">IF($Z$6="","",_xlfn._xlws.FILTER(CampAttTbl[RecordID],CampAttTbl[CampID]&amp;""=$Z$6&amp;"",""))</f>
        <v>D006</v>
      </c>
    </row>
    <row r="20" spans="1:27" s="8" customFormat="1" ht="18.600000000000001">
      <c r="A20" s="51">
        <v>8456732190</v>
      </c>
      <c r="B20" s="51" t="str">
        <v>رضا</v>
      </c>
      <c r="C20" s="51" t="str">
        <v>طاهری</v>
      </c>
      <c r="D20" s="51" t="str">
        <v>دعوت شده</v>
      </c>
      <c r="E20" s="51" t="str">
        <v>۱۴۰۵/۰۳/۰۵</v>
      </c>
      <c r="F20" s="51" t="str">
        <v>با تاخیر</v>
      </c>
      <c r="G20" s="51" t="str">
        <v>۱۴۰۵/۰۳/۱۲</v>
      </c>
      <c r="H20" s="51" t="str">
        <v>۱۴۰۵/۰۳/۲۰</v>
      </c>
      <c r="I20" s="52" t="str">
        <v>-</v>
      </c>
      <c r="J20" s="52"/>
      <c r="Z20" s="56"/>
      <c r="AA20" s="8" t="str">
        <v>D007</v>
      </c>
    </row>
    <row r="21" spans="1:27" s="8" customFormat="1" ht="18.600000000000001">
      <c r="A21" s="51">
        <v>1604987325</v>
      </c>
      <c r="B21" s="51" t="str">
        <v>پیمان</v>
      </c>
      <c r="C21" s="51" t="str">
        <v>صادقی</v>
      </c>
      <c r="D21" s="51" t="str">
        <v>دعوت شده</v>
      </c>
      <c r="E21" s="51" t="str">
        <v>۱۴۰۵/۰۳/۰۷</v>
      </c>
      <c r="F21" s="51" t="str">
        <v>غیبت موجه</v>
      </c>
      <c r="G21" s="51" t="str">
        <v>-</v>
      </c>
      <c r="H21" s="51" t="str">
        <v>-</v>
      </c>
      <c r="I21" s="53" t="str">
        <v>بیماری (آنفلوآنزا)</v>
      </c>
      <c r="J21" s="52"/>
      <c r="Z21" s="56"/>
      <c r="AA21" s="8" t="str">
        <v>D008</v>
      </c>
    </row>
    <row r="22" spans="1:27" s="8" customFormat="1" ht="18.600000000000001">
      <c r="A22" s="51">
        <v>9543216780</v>
      </c>
      <c r="B22" s="51" t="str">
        <v>یاسین</v>
      </c>
      <c r="C22" s="51" t="str">
        <v>عابدی</v>
      </c>
      <c r="D22" s="51" t="str">
        <v>دعوت شده</v>
      </c>
      <c r="E22" s="51" t="str">
        <v>۱۴۰۵/۰۳/۰۵</v>
      </c>
      <c r="F22" s="51" t="str">
        <v>حاضر</v>
      </c>
      <c r="G22" s="51" t="str">
        <v>۱۴۰۵/۰۳/۱۰</v>
      </c>
      <c r="H22" s="51" t="str">
        <v>۱۴۰۵/۰۳/۱۸</v>
      </c>
      <c r="I22" s="52" t="str">
        <v>-</v>
      </c>
      <c r="J22" s="52"/>
      <c r="Z22" s="56"/>
      <c r="AA22" s="8" t="str">
        <v>D009</v>
      </c>
    </row>
    <row r="23" spans="1:27" s="8" customFormat="1" ht="18.600000000000001">
      <c r="A23" s="51">
        <v>5076198432</v>
      </c>
      <c r="B23" s="51" t="str">
        <v>بهنام</v>
      </c>
      <c r="C23" s="51" t="str">
        <v>قربانی</v>
      </c>
      <c r="D23" s="51" t="str">
        <v>دعوت شده</v>
      </c>
      <c r="E23" s="51" t="str">
        <v>۱۴۰۵/۰۳/۰۵</v>
      </c>
      <c r="F23" s="51" t="str">
        <v>حاضر</v>
      </c>
      <c r="G23" s="51" t="str">
        <v>۱۴۰۵/۰۳/۱۰</v>
      </c>
      <c r="H23" s="51" t="str">
        <v>۱۴۰۵/۰۳/۲۰</v>
      </c>
      <c r="I23" s="52" t="str">
        <v>-</v>
      </c>
      <c r="J23" s="52"/>
      <c r="Z23" s="56"/>
      <c r="AA23" s="8" t="str">
        <v>D010</v>
      </c>
    </row>
    <row r="24" spans="1:27" s="8" customFormat="1" ht="18.600000000000001">
      <c r="A24" s="51">
        <v>6189076543</v>
      </c>
      <c r="B24" s="51" t="str">
        <v>علی</v>
      </c>
      <c r="C24" s="51" t="str">
        <v>موسوی</v>
      </c>
      <c r="D24" s="51" t="str">
        <v>دعوت شده</v>
      </c>
      <c r="E24" s="51" t="str">
        <v>1405/05/19</v>
      </c>
      <c r="F24" s="51" t="str">
        <v>غیبت موجه</v>
      </c>
      <c r="G24" s="51" t="str">
        <v>1405/04/20</v>
      </c>
      <c r="H24" s="51" t="str">
        <v>1405/04/25</v>
      </c>
      <c r="I24" s="52" t="str">
        <v>کورونا</v>
      </c>
      <c r="J24" s="52"/>
      <c r="Z24" s="56"/>
      <c r="AA24" s="8" t="str">
        <v>D016</v>
      </c>
    </row>
    <row r="25" spans="1:27" s="8" customFormat="1" ht="18.600000000000001">
      <c r="A25" s="49"/>
      <c r="B25" s="49"/>
      <c r="C25" s="49"/>
      <c r="D25" s="49"/>
      <c r="E25" s="49"/>
      <c r="F25" s="49"/>
      <c r="G25" s="49"/>
      <c r="H25" s="49"/>
      <c r="I25" s="49"/>
      <c r="J25" s="49"/>
      <c r="Z25" s="56"/>
    </row>
    <row r="26" spans="1:27">
      <c r="A26" s="50"/>
      <c r="B26" s="50"/>
      <c r="C26" s="50"/>
      <c r="D26" s="50"/>
      <c r="E26" s="50"/>
      <c r="F26" s="50"/>
      <c r="G26" s="50"/>
      <c r="H26" s="50"/>
      <c r="I26" s="50"/>
      <c r="J26" s="50"/>
    </row>
    <row r="27" spans="1:27">
      <c r="A27" s="50"/>
      <c r="B27" s="50"/>
      <c r="C27" s="50"/>
      <c r="D27" s="50"/>
      <c r="E27" s="50"/>
      <c r="F27" s="50"/>
      <c r="G27" s="50"/>
      <c r="H27" s="50"/>
      <c r="I27" s="50"/>
      <c r="J27" s="50"/>
    </row>
    <row r="28" spans="1:27">
      <c r="A28" s="50"/>
      <c r="B28" s="50"/>
      <c r="C28" s="50"/>
      <c r="D28" s="50"/>
      <c r="E28" s="50"/>
      <c r="F28" s="50"/>
      <c r="G28" s="50"/>
      <c r="H28" s="50"/>
      <c r="I28" s="50"/>
      <c r="J28" s="50"/>
    </row>
    <row r="29" spans="1:27">
      <c r="A29" s="50"/>
      <c r="B29" s="50"/>
      <c r="C29" s="50"/>
      <c r="D29" s="50"/>
      <c r="E29" s="50"/>
      <c r="F29" s="50"/>
      <c r="G29" s="50"/>
      <c r="H29" s="50"/>
      <c r="I29" s="50"/>
      <c r="J29" s="50"/>
    </row>
    <row r="30" spans="1:27">
      <c r="A30" s="50"/>
      <c r="B30" s="50"/>
      <c r="C30" s="104"/>
      <c r="D30" s="104"/>
      <c r="E30" s="104"/>
      <c r="F30" s="50"/>
      <c r="G30" s="50"/>
      <c r="H30" s="50"/>
      <c r="I30" s="50"/>
      <c r="J30" s="50"/>
    </row>
    <row r="31" spans="1:27">
      <c r="A31" s="50"/>
      <c r="B31" s="50"/>
      <c r="C31" s="104"/>
      <c r="D31" s="104"/>
      <c r="E31" s="104"/>
      <c r="F31" s="50"/>
      <c r="G31" s="50"/>
      <c r="H31" s="50"/>
      <c r="I31" s="50"/>
      <c r="J31" s="50"/>
    </row>
    <row r="32" spans="1:27">
      <c r="A32" s="50"/>
      <c r="B32" s="50"/>
      <c r="C32" s="104"/>
      <c r="D32" s="104"/>
      <c r="E32" s="104"/>
      <c r="F32" s="50"/>
      <c r="G32" s="50"/>
      <c r="H32" s="50"/>
      <c r="I32" s="50"/>
      <c r="J32" s="50"/>
    </row>
    <row r="33" spans="1:10">
      <c r="A33" s="50"/>
      <c r="B33" s="50"/>
      <c r="C33" s="104"/>
      <c r="D33" s="104"/>
      <c r="E33" s="104"/>
      <c r="F33" s="50"/>
      <c r="G33" s="50"/>
      <c r="H33" s="50"/>
      <c r="I33" s="50"/>
      <c r="J33" s="50"/>
    </row>
    <row r="34" spans="1:10">
      <c r="A34" s="50"/>
      <c r="B34" s="50"/>
      <c r="C34" s="104"/>
      <c r="D34" s="104"/>
      <c r="E34" s="104"/>
      <c r="F34" s="50"/>
      <c r="G34" s="50"/>
      <c r="H34" s="50"/>
      <c r="I34" s="50"/>
      <c r="J34" s="50"/>
    </row>
    <row r="35" spans="1:10">
      <c r="A35" s="50"/>
      <c r="B35" s="50"/>
      <c r="C35" s="104"/>
      <c r="D35" s="104"/>
      <c r="E35" s="104"/>
      <c r="F35" s="50"/>
      <c r="G35" s="50"/>
      <c r="H35" s="50"/>
      <c r="I35" s="50"/>
      <c r="J35" s="50"/>
    </row>
    <row r="36" spans="1:10">
      <c r="A36" s="50"/>
      <c r="B36" s="50"/>
      <c r="C36" s="104"/>
      <c r="D36" s="104"/>
      <c r="E36" s="104"/>
      <c r="F36" s="50"/>
      <c r="G36" s="50"/>
      <c r="H36" s="50"/>
      <c r="I36" s="50"/>
      <c r="J36" s="50"/>
    </row>
    <row r="37" spans="1:10">
      <c r="A37" s="50"/>
      <c r="B37" s="50"/>
      <c r="C37" s="104"/>
      <c r="D37" s="104"/>
      <c r="E37" s="104"/>
      <c r="F37" s="50"/>
      <c r="G37" s="50"/>
      <c r="H37" s="50"/>
      <c r="I37" s="50"/>
      <c r="J37" s="50"/>
    </row>
    <row r="38" spans="1:10">
      <c r="A38" s="50"/>
      <c r="B38" s="50"/>
      <c r="C38" s="104"/>
      <c r="D38" s="104"/>
      <c r="E38" s="104"/>
      <c r="F38" s="50"/>
      <c r="G38" s="50"/>
      <c r="H38" s="50"/>
      <c r="I38" s="50"/>
      <c r="J38" s="50"/>
    </row>
    <row r="39" spans="1:10">
      <c r="A39" s="50"/>
      <c r="B39" s="50"/>
      <c r="C39" s="104"/>
      <c r="D39" s="104"/>
      <c r="E39" s="104"/>
      <c r="F39" s="50"/>
      <c r="G39" s="50"/>
      <c r="H39" s="50"/>
      <c r="I39" s="50"/>
      <c r="J39" s="50"/>
    </row>
    <row r="40" spans="1:10">
      <c r="A40" s="50"/>
      <c r="B40" s="50"/>
      <c r="C40" s="104"/>
      <c r="D40" s="104"/>
      <c r="E40" s="104"/>
      <c r="F40" s="50"/>
      <c r="G40" s="50"/>
      <c r="H40" s="50"/>
      <c r="I40" s="50"/>
      <c r="J40" s="50"/>
    </row>
    <row r="41" spans="1:10">
      <c r="A41" s="50"/>
      <c r="B41" s="50"/>
      <c r="C41" s="104"/>
      <c r="D41" s="104"/>
      <c r="E41" s="104"/>
      <c r="F41" s="50"/>
      <c r="G41" s="50"/>
      <c r="H41" s="50"/>
      <c r="I41" s="50"/>
      <c r="J41" s="50"/>
    </row>
    <row r="42" spans="1:10">
      <c r="A42" s="50"/>
      <c r="B42" s="50"/>
      <c r="C42" s="104"/>
      <c r="D42" s="104"/>
      <c r="E42" s="104"/>
      <c r="F42" s="50"/>
      <c r="G42" s="50"/>
      <c r="H42" s="50"/>
      <c r="I42" s="50"/>
      <c r="J42" s="50"/>
    </row>
    <row r="43" spans="1:10">
      <c r="A43" s="50"/>
      <c r="B43" s="50"/>
      <c r="C43" s="104"/>
      <c r="D43" s="104"/>
      <c r="E43" s="104"/>
      <c r="F43" s="50"/>
      <c r="G43" s="50"/>
      <c r="H43" s="50"/>
      <c r="I43" s="50"/>
      <c r="J43" s="50"/>
    </row>
    <row r="44" spans="1:10">
      <c r="A44" s="50"/>
      <c r="B44" s="50"/>
      <c r="C44" s="104"/>
      <c r="D44" s="104"/>
      <c r="E44" s="104"/>
      <c r="F44" s="50"/>
      <c r="G44" s="50"/>
      <c r="H44" s="50"/>
      <c r="I44" s="50"/>
      <c r="J44" s="50"/>
    </row>
    <row r="45" spans="1:10">
      <c r="A45" s="50"/>
      <c r="B45" s="50"/>
      <c r="C45" s="104"/>
      <c r="D45" s="104"/>
      <c r="E45" s="104"/>
      <c r="F45" s="50"/>
      <c r="G45" s="50"/>
      <c r="H45" s="50"/>
      <c r="I45" s="50"/>
      <c r="J45" s="50"/>
    </row>
    <row r="46" spans="1:10">
      <c r="A46" s="50"/>
      <c r="B46" s="50"/>
      <c r="C46" s="104"/>
      <c r="D46" s="104"/>
      <c r="E46" s="104"/>
      <c r="F46" s="50"/>
      <c r="G46" s="50"/>
      <c r="H46" s="50"/>
      <c r="I46" s="50"/>
      <c r="J46" s="50"/>
    </row>
    <row r="47" spans="1:10">
      <c r="A47" s="50"/>
      <c r="B47" s="50"/>
      <c r="C47" s="104"/>
      <c r="D47" s="104"/>
      <c r="E47" s="104"/>
      <c r="F47" s="50"/>
      <c r="G47" s="50"/>
      <c r="H47" s="50"/>
      <c r="I47" s="50"/>
      <c r="J47" s="50"/>
    </row>
    <row r="48" spans="1:10">
      <c r="A48" s="50"/>
      <c r="B48" s="50"/>
      <c r="C48" s="104"/>
      <c r="D48" s="104"/>
      <c r="E48" s="104"/>
      <c r="F48" s="50"/>
      <c r="G48" s="50"/>
      <c r="H48" s="50"/>
      <c r="I48" s="50"/>
      <c r="J48" s="50"/>
    </row>
    <row r="49" spans="1:10">
      <c r="A49" s="50"/>
      <c r="B49" s="50"/>
      <c r="C49" s="104"/>
      <c r="D49" s="104"/>
      <c r="E49" s="104"/>
      <c r="F49" s="50"/>
      <c r="G49" s="50"/>
      <c r="H49" s="50"/>
      <c r="I49" s="50"/>
      <c r="J49" s="50"/>
    </row>
    <row r="50" spans="1:10">
      <c r="A50" s="50"/>
      <c r="B50" s="50"/>
      <c r="C50" s="104"/>
      <c r="D50" s="104"/>
      <c r="E50" s="104"/>
      <c r="F50" s="50"/>
      <c r="G50" s="50"/>
      <c r="H50" s="50"/>
      <c r="I50" s="50"/>
      <c r="J50" s="50"/>
    </row>
    <row r="51" spans="1:10">
      <c r="A51" s="50"/>
      <c r="B51" s="50"/>
      <c r="C51" s="104"/>
      <c r="D51" s="104"/>
      <c r="E51" s="104"/>
      <c r="F51" s="50"/>
      <c r="G51" s="50"/>
      <c r="H51" s="50"/>
      <c r="I51" s="50"/>
      <c r="J51" s="50"/>
    </row>
    <row r="52" spans="1:10">
      <c r="A52" s="50"/>
      <c r="B52" s="50"/>
      <c r="C52" s="104"/>
      <c r="D52" s="104"/>
      <c r="E52" s="104"/>
      <c r="F52" s="50"/>
      <c r="G52" s="50"/>
      <c r="H52" s="50"/>
      <c r="I52" s="50"/>
      <c r="J52" s="50"/>
    </row>
    <row r="53" spans="1:10">
      <c r="A53" s="50"/>
      <c r="B53" s="50"/>
      <c r="C53" s="104"/>
      <c r="D53" s="104"/>
      <c r="E53" s="104"/>
      <c r="F53" s="50"/>
      <c r="G53" s="50"/>
      <c r="H53" s="50"/>
      <c r="I53" s="50"/>
      <c r="J53" s="50"/>
    </row>
    <row r="54" spans="1:10">
      <c r="A54" s="50"/>
      <c r="B54" s="50"/>
      <c r="C54" s="104"/>
      <c r="D54" s="104"/>
      <c r="E54" s="104"/>
      <c r="F54" s="50"/>
      <c r="G54" s="50"/>
      <c r="H54" s="50"/>
      <c r="I54" s="50"/>
      <c r="J54" s="50"/>
    </row>
    <row r="55" spans="1:10">
      <c r="A55" s="50"/>
      <c r="B55" s="50"/>
      <c r="C55" s="104"/>
      <c r="D55" s="104"/>
      <c r="E55" s="104"/>
      <c r="F55" s="50"/>
      <c r="G55" s="50"/>
      <c r="H55" s="50"/>
      <c r="I55" s="50"/>
      <c r="J55" s="50"/>
    </row>
    <row r="56" spans="1:10">
      <c r="A56" s="50"/>
      <c r="B56" s="50"/>
      <c r="C56" s="104"/>
      <c r="D56" s="104"/>
      <c r="E56" s="104"/>
      <c r="F56" s="50"/>
      <c r="G56" s="50"/>
      <c r="H56" s="50"/>
      <c r="I56" s="50"/>
      <c r="J56" s="50"/>
    </row>
    <row r="57" spans="1:10">
      <c r="A57" s="50"/>
      <c r="B57" s="50"/>
      <c r="C57" s="50"/>
      <c r="D57" s="50"/>
      <c r="E57" s="50"/>
      <c r="F57" s="50"/>
      <c r="G57" s="50"/>
      <c r="H57" s="50"/>
      <c r="I57" s="50"/>
      <c r="J57" s="50"/>
    </row>
  </sheetData>
  <mergeCells count="43">
    <mergeCell ref="I18:J18"/>
    <mergeCell ref="C53:E53"/>
    <mergeCell ref="C54:E54"/>
    <mergeCell ref="C55:E55"/>
    <mergeCell ref="C56:E56"/>
    <mergeCell ref="C47:E47"/>
    <mergeCell ref="C48:E48"/>
    <mergeCell ref="C49:E49"/>
    <mergeCell ref="C50:E50"/>
    <mergeCell ref="C51:E51"/>
    <mergeCell ref="C52:E52"/>
    <mergeCell ref="C41:E41"/>
    <mergeCell ref="C42:E42"/>
    <mergeCell ref="C43:E43"/>
    <mergeCell ref="C44:E44"/>
    <mergeCell ref="C45:E45"/>
    <mergeCell ref="C31:E31"/>
    <mergeCell ref="C32:E32"/>
    <mergeCell ref="C33:E33"/>
    <mergeCell ref="C34:E34"/>
    <mergeCell ref="C46:E46"/>
    <mergeCell ref="C35:E35"/>
    <mergeCell ref="C36:E36"/>
    <mergeCell ref="C37:E37"/>
    <mergeCell ref="C38:E38"/>
    <mergeCell ref="C39:E39"/>
    <mergeCell ref="C40:E40"/>
    <mergeCell ref="A13:B14"/>
    <mergeCell ref="B9:C9"/>
    <mergeCell ref="E9:F9"/>
    <mergeCell ref="D7:G7"/>
    <mergeCell ref="C30:E30"/>
    <mergeCell ref="G14:H14"/>
    <mergeCell ref="E14:F14"/>
    <mergeCell ref="C14:D14"/>
    <mergeCell ref="G13:H13"/>
    <mergeCell ref="E13:F13"/>
    <mergeCell ref="C13:D13"/>
    <mergeCell ref="B10:C10"/>
    <mergeCell ref="E10:F10"/>
    <mergeCell ref="B11:C11"/>
    <mergeCell ref="E11:F11"/>
    <mergeCell ref="H11:J11"/>
  </mergeCells>
  <conditionalFormatting sqref="A19:J52">
    <cfRule type="expression" dxfId="4" priority="1">
      <formula>$A19&lt;&gt;""</formula>
    </cfRule>
  </conditionalFormatting>
  <dataValidations count="3">
    <dataValidation type="list" allowBlank="1" showInputMessage="1" showErrorMessage="1" sqref="E14" xr:uid="{5332019E-88FD-4E8F-BA21-262DA5921D31}">
      <formula1>"دعوت‌شده,ذخیره,خط‌خورده,انصراف,جایگزین‌شده"</formula1>
    </dataValidation>
    <dataValidation type="list" allowBlank="1" showInputMessage="1" showErrorMessage="1" sqref="G14" xr:uid="{E75CB639-D669-4845-83B2-B65B542BBD2E}">
      <formula1>"حاضر,غایب,غیبت موجه,غیبت غیرموجه,انصراف"</formula1>
    </dataValidation>
    <dataValidation type="list" allowBlank="1" showInputMessage="1" showErrorMessage="1" sqref="D7:G7" xr:uid="{C24A9B12-375E-457B-A67F-2674B6C01E73}">
      <formula1>_xlfn.ANCHORARRAY($Z$7)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1019F54-BE59-44B2-A4E6-579AC9949455}">
          <x14:formula1>
            <xm:f>_xlfn.ANCHORARRAY(PlayerProfile!$X$3)</xm:f>
          </x14:formula1>
          <xm:sqref>B15 C14 B17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A6DB1-F055-4549-A31E-135B59A7C29F}">
  <sheetPr codeName="Sheet22"/>
  <dimension ref="B1:Z18"/>
  <sheetViews>
    <sheetView rightToLeft="1" tabSelected="1" topLeftCell="A4" zoomScale="115" zoomScaleNormal="115" workbookViewId="0">
      <selection activeCell="B9" sqref="B9"/>
    </sheetView>
  </sheetViews>
  <sheetFormatPr defaultRowHeight="18.600000000000001"/>
  <cols>
    <col min="1" max="1" width="8.796875" style="147"/>
    <col min="2" max="2" width="15.69921875" style="147" customWidth="1"/>
    <col min="3" max="3" width="8.796875" style="147"/>
    <col min="4" max="4" width="15.69921875" style="147" customWidth="1"/>
    <col min="5" max="5" width="8.796875" style="147"/>
    <col min="6" max="6" width="15.69921875" style="147" customWidth="1"/>
    <col min="7" max="7" width="8.796875" style="147"/>
    <col min="8" max="8" width="15.69921875" style="147" customWidth="1"/>
    <col min="9" max="23" width="8.796875" style="147"/>
    <col min="24" max="24" width="28.19921875" style="147" bestFit="1" customWidth="1"/>
    <col min="25" max="25" width="10.09765625" style="147" bestFit="1" customWidth="1"/>
    <col min="26" max="26" width="12.69921875" style="147" customWidth="1"/>
    <col min="27" max="16384" width="8.796875" style="147"/>
  </cols>
  <sheetData>
    <row r="1" spans="2:26">
      <c r="X1" s="148" t="s">
        <v>742</v>
      </c>
    </row>
    <row r="2" spans="2:26">
      <c r="X2" s="149" t="str" cm="1">
        <f t="array" ref="X2:X5">_xlfn._xlws.FILTER(CampsTbl[CampID]&amp;" | "&amp;CampsTbl[عنوان اردو],CampsTbl[CampID]&lt;&gt;"")</f>
        <v>CAMP-101 | اردوی آماده‌سازی جام جهانی ۲۰۲۶</v>
      </c>
    </row>
    <row r="3" spans="2:26">
      <c r="X3" s="149" t="str">
        <v>CAMP-102 | اردوی تدارکاتی پیش از مسابقات آسیایی</v>
      </c>
    </row>
    <row r="4" spans="2:26">
      <c r="X4" s="149" t="str">
        <v>CAMP-103 | اردوی نهایی انتخابی تیم ملی</v>
      </c>
    </row>
    <row r="5" spans="2:26" ht="22.2" customHeight="1">
      <c r="X5" s="149" t="str">
        <v>CAMP-104 | اردوی ریکاوری و بازیابی پس از مسابقات</v>
      </c>
    </row>
    <row r="6" spans="2:26">
      <c r="F6" s="157" t="str">
        <f>IF($Z$8="EDIT","در حال ویرایش",IF($Z$8="NEW","ثبت ارزیابی جدید",""))</f>
        <v/>
      </c>
      <c r="Y6" s="125" t="s">
        <v>213</v>
      </c>
      <c r="Z6" s="125" t="str">
        <f>IF($E$7="","",IFERROR(TRIM(MID($E$7,FIND(" | ",$E$7)+3,LEN($E$7))),""))</f>
        <v/>
      </c>
    </row>
    <row r="7" spans="2:26">
      <c r="D7" s="150"/>
      <c r="E7" s="160"/>
      <c r="F7" s="160"/>
      <c r="G7" s="161"/>
      <c r="Y7" s="125" t="s">
        <v>47</v>
      </c>
      <c r="Z7" s="125" t="str">
        <f>IF($E$8="","",IFERROR(LEFT($E$8,FIND(" | ",$E$8)-1),""))</f>
        <v/>
      </c>
    </row>
    <row r="8" spans="2:26">
      <c r="D8" s="151"/>
      <c r="E8" s="158"/>
      <c r="F8" s="158"/>
      <c r="G8" s="159"/>
      <c r="Z8" s="155"/>
    </row>
    <row r="9" spans="2:26">
      <c r="D9" s="151"/>
      <c r="E9" s="162"/>
      <c r="F9" s="152"/>
      <c r="G9" s="153"/>
      <c r="Z9" s="156"/>
    </row>
    <row r="11" spans="2:26">
      <c r="C11" s="82" t="s">
        <v>455</v>
      </c>
      <c r="D11" s="142"/>
    </row>
    <row r="12" spans="2:26">
      <c r="B12" s="82" t="s">
        <v>5</v>
      </c>
      <c r="C12" s="145"/>
      <c r="D12" s="82" t="s">
        <v>6</v>
      </c>
      <c r="E12" s="146"/>
      <c r="F12" s="82" t="s">
        <v>740</v>
      </c>
      <c r="G12" s="143"/>
      <c r="H12" s="82" t="s">
        <v>96</v>
      </c>
      <c r="I12" s="154"/>
    </row>
    <row r="13" spans="2:26">
      <c r="B13" s="65"/>
      <c r="C13" s="51"/>
      <c r="D13" s="65"/>
      <c r="E13" s="51"/>
      <c r="F13" s="65"/>
      <c r="G13" s="51"/>
      <c r="H13" s="65"/>
      <c r="I13" s="51"/>
    </row>
    <row r="14" spans="2:26">
      <c r="B14" s="82" t="s">
        <v>97</v>
      </c>
      <c r="C14" s="144"/>
      <c r="D14" s="82" t="s">
        <v>98</v>
      </c>
      <c r="E14" s="144"/>
      <c r="F14" s="82" t="s">
        <v>99</v>
      </c>
      <c r="G14" s="144"/>
      <c r="H14" s="82" t="s">
        <v>100</v>
      </c>
      <c r="I14" s="144"/>
    </row>
    <row r="15" spans="2:26">
      <c r="B15" s="65"/>
      <c r="C15" s="51"/>
      <c r="D15" s="65"/>
      <c r="E15" s="51"/>
      <c r="F15" s="65"/>
      <c r="G15" s="51"/>
      <c r="H15" s="65"/>
      <c r="I15" s="51"/>
    </row>
    <row r="16" spans="2:26">
      <c r="B16" s="82" t="s">
        <v>102</v>
      </c>
      <c r="C16" s="145"/>
      <c r="D16" s="82" t="s">
        <v>103</v>
      </c>
      <c r="E16" s="145"/>
      <c r="F16" s="82" t="s">
        <v>105</v>
      </c>
      <c r="G16" s="142"/>
      <c r="H16" s="82" t="s">
        <v>107</v>
      </c>
      <c r="I16" s="142"/>
    </row>
    <row r="17" spans="2:9">
      <c r="B17" s="65"/>
      <c r="C17" s="51"/>
      <c r="D17" s="65"/>
      <c r="E17" s="51"/>
      <c r="F17" s="65"/>
      <c r="G17" s="51"/>
      <c r="H17" s="65"/>
      <c r="I17" s="51"/>
    </row>
    <row r="18" spans="2:9">
      <c r="B18" s="82" t="s">
        <v>108</v>
      </c>
      <c r="C18" s="142"/>
      <c r="D18" s="82" t="s">
        <v>741</v>
      </c>
      <c r="E18" s="142"/>
      <c r="F18" s="82" t="s">
        <v>110</v>
      </c>
      <c r="G18" s="141"/>
      <c r="H18" s="82" t="s">
        <v>113</v>
      </c>
      <c r="I18" s="142"/>
    </row>
  </sheetData>
  <mergeCells count="2">
    <mergeCell ref="E7:G7"/>
    <mergeCell ref="E8:G8"/>
  </mergeCells>
  <dataValidations count="1">
    <dataValidation type="list" allowBlank="1" showInputMessage="1" showErrorMessage="1" sqref="E8" xr:uid="{1553F5B3-400B-4460-B9DF-389E3FE03B03}">
      <formula1>_xlfn.ANCHORARRAY($X$2)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F41F39-0E23-4AC5-9417-AFAFC4DEBA7A}">
          <x14:formula1>
            <xm:f>_xlfn.ANCHORARRAY(PlayerProfile!$X$3)</xm:f>
          </x14:formula1>
          <xm:sqref>E7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14C45-2284-43CE-A314-9360DB3F6AAD}">
  <sheetPr codeName="Sheet3"/>
  <dimension ref="B1:AE46"/>
  <sheetViews>
    <sheetView rightToLeft="1" topLeftCell="G1" zoomScaleNormal="100" workbookViewId="0">
      <selection activeCell="L4" sqref="L4:L5"/>
    </sheetView>
  </sheetViews>
  <sheetFormatPr defaultColWidth="8.69921875" defaultRowHeight="21.6"/>
  <cols>
    <col min="1" max="1" width="8.69921875" style="62" customWidth="1"/>
    <col min="2" max="2" width="21.8984375" style="62" customWidth="1"/>
    <col min="3" max="3" width="11.5" style="62" customWidth="1"/>
    <col min="4" max="4" width="10.59765625" style="62" customWidth="1"/>
    <col min="5" max="5" width="10.69921875" style="62" customWidth="1"/>
    <col min="6" max="6" width="18.69921875" style="62" customWidth="1"/>
    <col min="7" max="7" width="5.09765625" style="62" customWidth="1"/>
    <col min="8" max="8" width="11.09765625" style="62" customWidth="1"/>
    <col min="9" max="9" width="18.69921875" style="62" customWidth="1"/>
    <col min="10" max="10" width="3.3984375" style="62" customWidth="1"/>
    <col min="11" max="21" width="8.69921875" style="62"/>
    <col min="22" max="22" width="13.09765625" style="62" bestFit="1" customWidth="1"/>
    <col min="23" max="23" width="10.8984375" style="62" bestFit="1" customWidth="1"/>
    <col min="24" max="24" width="25.296875" style="62" bestFit="1" customWidth="1"/>
    <col min="25" max="25" width="10.8984375" style="62" bestFit="1" customWidth="1"/>
    <col min="26" max="26" width="18.5" style="62" bestFit="1" customWidth="1"/>
    <col min="27" max="27" width="11.19921875" style="62" bestFit="1" customWidth="1"/>
    <col min="28" max="28" width="10.8984375" style="62" bestFit="1" customWidth="1"/>
    <col min="29" max="16384" width="8.69921875" style="62"/>
  </cols>
  <sheetData>
    <row r="1" spans="2:31" ht="22.2" thickBot="1">
      <c r="Z1" s="80" cm="1">
        <f t="array" ref="Z1">IF($E$6="",SelectedPlayerID,IFERROR(_xlfn.XLOOKUP($E$6,PlayerTbl[نام]&amp;" "&amp;PlayerTbl[نام خانوادگی]&amp;" | "&amp;PlayerTbl[کد ملی],PlayerTbl[کد ملی]),""))</f>
        <v>4420987654</v>
      </c>
      <c r="AD1" s="62" t="s">
        <v>471</v>
      </c>
    </row>
    <row r="2" spans="2:31">
      <c r="B2" s="62" t="s">
        <v>470</v>
      </c>
    </row>
    <row r="3" spans="2:31">
      <c r="X3" s="62" t="str" cm="1">
        <f t="array" ref="X3:X12">IFERROR(_xlfn._xlws.FILTER(PlayerTbl[نام]&amp;" "&amp;PlayerTbl[نام خانوادگی]&amp;" | "&amp;PlayerTbl[کد ملی],PlayerTbl[کد ملی]&lt;&gt;""),"")</f>
        <v>امیرحسین رضاییان | 4420987654</v>
      </c>
    </row>
    <row r="4" spans="2:31">
      <c r="X4" s="62" t="str">
        <v>سعید محمدپور | 5031987432</v>
      </c>
    </row>
    <row r="5" spans="2:31" ht="7.8" customHeight="1">
      <c r="X5" s="62" t="str">
        <v>مهدی کریمی | 3876543210</v>
      </c>
    </row>
    <row r="6" spans="2:31" ht="27.6" customHeight="1">
      <c r="E6" s="100" t="s">
        <v>595</v>
      </c>
      <c r="F6" s="100"/>
      <c r="X6" s="62" t="str">
        <v>علی موسوی | 6189076543</v>
      </c>
    </row>
    <row r="7" spans="2:31">
      <c r="X7" s="62" t="str">
        <v>محمد احمدی | 2954321876</v>
      </c>
    </row>
    <row r="8" spans="2:31">
      <c r="E8" s="99" t="s">
        <v>426</v>
      </c>
      <c r="F8" s="97"/>
      <c r="G8" s="68"/>
      <c r="H8" s="99" t="s">
        <v>464</v>
      </c>
      <c r="I8" s="99"/>
      <c r="X8" s="62" t="str">
        <v>حسین نوری | 7321890543</v>
      </c>
    </row>
    <row r="9" spans="2:31">
      <c r="E9" s="81" t="s">
        <v>365</v>
      </c>
      <c r="F9" s="82" t="str" cm="1">
        <f t="array" ref="F9">IF($Z$1="","",IFERROR(_xlfn._xlws.FILTER(Players!$B$2:$B$1000,Players!$A$2:$A$1000&amp;""=$Z$1&amp;""),""))</f>
        <v>امیرحسین</v>
      </c>
      <c r="G9" s="68"/>
      <c r="H9" s="66" t="s">
        <v>435</v>
      </c>
      <c r="I9" s="67" t="s">
        <v>436</v>
      </c>
      <c r="X9" s="62" t="str">
        <v>رضا طاهری | 8456732190</v>
      </c>
    </row>
    <row r="10" spans="2:31">
      <c r="E10" s="81" t="s">
        <v>366</v>
      </c>
      <c r="F10" s="82" t="str" cm="1">
        <f t="array" ref="F10">IF($Z$1="","",IFERROR(_xlfn._xlws.FILTER(Players!$C$2:$C$1000,Players!$A$2:$A$1000&amp;""=$Z$1&amp;""),""))</f>
        <v>رضاییان</v>
      </c>
      <c r="G10" s="68"/>
      <c r="H10" s="83" t="s">
        <v>9</v>
      </c>
      <c r="I10" s="82" t="str" cm="1">
        <f t="array" ref="I10">IF($Z$1="","",IFERROR(_xlfn.XLOOKUP($Z$1&amp;"",PlayerTbl[کد ملی]&amp;"",PlayerTbl[پست اصلی]),""))</f>
        <v>دروازه‌بان</v>
      </c>
      <c r="X10" s="62" t="str">
        <v>پیمان صادقی | 1604987325</v>
      </c>
    </row>
    <row r="11" spans="2:31">
      <c r="E11" s="81" t="s">
        <v>367</v>
      </c>
      <c r="F11" s="82" t="str" cm="1">
        <f t="array" ref="F11">IF($Z$1="","",IFERROR(_xlfn._xlws.FILTER(Players!$D$2:$D$1000,Players!$A$2:$A$1000&amp;""=$Z$1&amp;""),""))</f>
        <v>۱۳۷۵/۰۲/۱۵</v>
      </c>
      <c r="G11" s="68"/>
      <c r="H11" s="83" t="s">
        <v>437</v>
      </c>
      <c r="I11" s="82" t="str" cm="1">
        <f t="array" ref="I11">IF($Z$1="","",IFERROR(_xlfn.XLOOKUP($Z$1&amp;"",PlayerTbl[کد ملی]&amp;"",PlayerTbl[پست فرعی]),""))</f>
        <v>دروازه‌بان</v>
      </c>
      <c r="X11" s="62" t="str">
        <v>یاسین عابدی | 9543216780</v>
      </c>
      <c r="Z11" s="84" t="s">
        <v>214</v>
      </c>
      <c r="AA11" s="85" t="s">
        <v>430</v>
      </c>
      <c r="AB11" s="85" t="s">
        <v>431</v>
      </c>
      <c r="AC11" s="85" t="s">
        <v>44</v>
      </c>
      <c r="AD11" s="85" t="s">
        <v>45</v>
      </c>
      <c r="AE11" s="85" t="s">
        <v>12</v>
      </c>
    </row>
    <row r="12" spans="2:31">
      <c r="E12" s="81" t="s">
        <v>370</v>
      </c>
      <c r="F12" s="82" t="str" cm="1">
        <f t="array" ref="F12">IF($Z$1="","",IFERROR(_xlfn._xlws.FILTER(Players!$H$2:$H$1000,Players!$A$2:$A$1000&amp;""=$Z$1&amp;""),""))</f>
        <v>راست</v>
      </c>
      <c r="G12" s="68"/>
      <c r="H12" s="83" t="s">
        <v>179</v>
      </c>
      <c r="I12" s="82" t="str" cm="1">
        <f t="array" ref="I12">IF($Z$1="","",IFERROR(_xlfn.XLOOKUP($Z$1&amp;"",PlayerTbl[کد ملی]&amp;"",PlayerTbl[وضعیت]),""))</f>
        <v>فعال</v>
      </c>
      <c r="X12" s="62" t="str">
        <v>بهنام قربانی | 5076198432</v>
      </c>
      <c r="Z12" s="62" t="str" cm="1">
        <f t="array" ref="Z12">IF($Z$1="","",IFERROR(_xlfn.LET(_xlpm.id,_xlfn._xlws.FILTER(ClubHistoryTbl[ClubID],ClubHistoryTbl[کد ملی]&amp;""=$Z$1&amp;""),_xlpm.start,_xlfn._xlws.FILTER(ClubHistoryTbl[تاریخ شروع],ClubHistoryTbl[کد ملی]&amp;""=$Z$1&amp;""),_xlpm.finish,_xlfn._xlws.FILTER(ClubHistoryTbl[تاریخ پایان],ClubHistoryTbl[کد ملی]&amp;""=$Z$1&amp;""),_xlpm.name,_xlfn.XLOOKUP(_xlpm.id,ClubsTbl[ClubID],ClubsTbl[نام باشگاه]),_xlfn.SORTBY(IF(_xlpm.finish="",_xlpm.name&amp;"  ● فعلی",_xlpm.name),_xlpm.start,-1)),""))</f>
        <v>موج‌سواران  ● فعلی</v>
      </c>
      <c r="AA12" s="62" t="str" cm="1">
        <f t="array" ref="AA12">IF($Z$1="","",IFERROR(_xlfn.LET(_xlpm.start,_xlfn._xlws.FILTER(ClubHistoryTbl[تاریخ شروع],ClubHistoryTbl[کد ملی]&amp;""=$Z$1&amp;""),_xlfn.SORTBY(_xlpm.start,_xlpm.start,-1)),""))</f>
        <v>۱۴۰۳/۰۱/۱۵</v>
      </c>
      <c r="AB12" s="62" t="str" cm="1">
        <f t="array" ref="AB12">IF($Z$1="","",IFERROR(_xlfn.LET(_xlpm.start,_xlfn._xlws.FILTER(ClubHistoryTbl[تاریخ شروع],ClubHistoryTbl[کد ملی]&amp;""=$Z$1&amp;""),_xlpm.finish,_xlfn._xlws.FILTER(ClubHistoryTbl[تاریخ پایان],ClubHistoryTbl[کد ملی]&amp;""=$Z$1&amp;""),_xlfn.SORTBY(IF(_xlpm.finish="","",_xlpm.finish),_xlpm.start,-1)),""))</f>
        <v/>
      </c>
      <c r="AC12" s="62" cm="1">
        <f t="array" ref="AC12">IF($Z$1="","",IFERROR(_xlfn.LET(_xlpm.start,_xlfn._xlws.FILTER(ClubHistoryTbl[تاریخ شروع],ClubHistoryTbl[کد ملی]&amp;""=$Z$1&amp;""),_xlpm.shirt,_xlfn._xlws.FILTER(ClubHistoryTbl[شماره پیراهن],ClubHistoryTbl[کد ملی]&amp;""=$Z$1&amp;""),_xlfn.SORTBY(IF(_xlpm.shirt="","",_xlpm.shirt),_xlpm.start,-1)),""))</f>
        <v>1</v>
      </c>
      <c r="AD12" s="62" t="str" cm="1">
        <f t="array" ref="AD12">IF($Z$1="","",IFERROR(_xlfn.LET(_xlpm.start,_xlfn._xlws.FILTER(ClubHistoryTbl[تاریخ شروع],ClubHistoryTbl[کد ملی]&amp;""=$Z$1&amp;""),_xlpm.captain,_xlfn._xlws.FILTER(ClubHistoryTbl[کاپیتان],ClubHistoryTbl[کد ملی]&amp;""=$Z$1&amp;""),_xlfn.SORTBY(IF(_xlpm.captain="","",_xlpm.captain),_xlpm.start,-1)),""))</f>
        <v>بله</v>
      </c>
      <c r="AE12" s="62" t="str" cm="1">
        <f t="array" ref="AE12">IF($Z$1="","",IFERROR(_xlfn.LET(_xlpm.start,_xlfn._xlws.FILTER(ClubHistoryTbl[تاریخ شروع],ClubHistoryTbl[کد ملی]&amp;""=$Z$1&amp;""),_xlpm.notes,_xlfn._xlws.FILTER(ClubHistoryTbl[توضیحات],ClubHistoryTbl[کد ملی]&amp;""=$Z$1&amp;""),_xlfn.SORTBY(IF(_xlpm.notes="","",_xlpm.notes),_xlpm.start,-1)),""))</f>
        <v>dsfasdf</v>
      </c>
    </row>
    <row r="13" spans="2:31">
      <c r="E13" s="81" t="s">
        <v>368</v>
      </c>
      <c r="F13" s="82" cm="1">
        <f t="array" ref="F13">IF($Z$1="","",IFERROR(_xlfn._xlws.FILTER(PlayerTbl[قد],PlayerTbl[کد ملی]&amp;""=$Z$1&amp;""),""))</f>
        <v>182</v>
      </c>
      <c r="G13" s="68"/>
      <c r="H13" s="64" t="s">
        <v>455</v>
      </c>
      <c r="I13" s="82"/>
    </row>
    <row r="14" spans="2:31">
      <c r="E14" s="81" t="s">
        <v>369</v>
      </c>
      <c r="F14" s="82" cm="1">
        <f t="array" ref="F14">IF($Z$1="","",IFERROR(_xlfn._xlws.FILTER(PlayerTbl[وزن],PlayerTbl[کد ملی]&amp;""=$Z$1&amp;""),""))</f>
        <v>78</v>
      </c>
      <c r="G14" s="68"/>
      <c r="H14" s="83" t="s">
        <v>438</v>
      </c>
      <c r="I14" s="86" cm="1">
        <f t="array" ref="I14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ملی]&amp;""=$Z$1&amp;""),_xlpm.result,_xlfn._xlws.FILTER(FitnessTbl[آمادگی کلی],FitnessTbl[کد ملی]&amp;""=$Z$1&amp;""),INDEX(_xlfn.SORTBY(_xlpm.result,_xlpm.testDate,-1),1)),""))</f>
        <v>9.1999999999999993</v>
      </c>
    </row>
    <row r="15" spans="2:31">
      <c r="E15" s="81" t="s">
        <v>155</v>
      </c>
      <c r="F15" s="82" t="str" cm="1">
        <f t="array" ref="F15">IF($Z$1="","",IFERROR(_xlfn._xlws.FILTER(PlayerTbl[گروه خونی],PlayerTbl[کد ملی]&amp;""=$Z$1&amp;""),""))</f>
        <v>O+</v>
      </c>
      <c r="G15" s="68"/>
      <c r="H15" s="83" t="s">
        <v>439</v>
      </c>
      <c r="I15" s="82"/>
    </row>
    <row r="16" spans="2:31">
      <c r="E16" s="81" t="s">
        <v>371</v>
      </c>
      <c r="F16" s="87" t="str" cm="1">
        <f t="array" ref="F16">IF($Z$1="","",IFERROR(_xlfn._xlws.FILTER(ContactsTbl[شماره موبایل],ContactsTbl[کد ملی]&amp;""=$Z$1&amp;""),""))</f>
        <v>0912345678</v>
      </c>
      <c r="G16" s="68"/>
      <c r="H16" s="88" t="s">
        <v>440</v>
      </c>
      <c r="I16" s="89"/>
    </row>
    <row r="17" spans="2:9">
      <c r="E17" s="81" t="s">
        <v>3</v>
      </c>
      <c r="F17" s="87">
        <f>PlayerProfileSSID</f>
        <v>4420987654</v>
      </c>
      <c r="G17" s="68"/>
      <c r="H17" s="68"/>
      <c r="I17" s="68"/>
    </row>
    <row r="18" spans="2:9">
      <c r="E18" s="68"/>
      <c r="F18" s="68"/>
      <c r="G18" s="68"/>
      <c r="H18" s="68"/>
      <c r="I18" s="68"/>
    </row>
    <row r="20" spans="2:9">
      <c r="B20" s="98" t="s">
        <v>433</v>
      </c>
      <c r="H20" s="98" t="s">
        <v>456</v>
      </c>
    </row>
    <row r="21" spans="2:9" ht="7.8" customHeight="1"/>
    <row r="22" spans="2:9" ht="19.95" customHeight="1">
      <c r="B22" s="84" t="s">
        <v>214</v>
      </c>
      <c r="C22" s="85" t="s">
        <v>430</v>
      </c>
      <c r="D22" s="85" t="s">
        <v>431</v>
      </c>
      <c r="E22" s="85" t="s">
        <v>469</v>
      </c>
      <c r="F22" s="90" t="s">
        <v>45</v>
      </c>
    </row>
    <row r="23" spans="2:9" ht="19.95" customHeight="1">
      <c r="B23" s="51" t="str">
        <f>IF($Z$12="","",$Z$12)</f>
        <v>موج‌سواران  ● فعلی</v>
      </c>
      <c r="C23" s="51" t="str">
        <f>IF($AA$12="","",$AA$12)</f>
        <v>۱۴۰۳/۰۱/۱۵</v>
      </c>
      <c r="D23" s="51" t="str">
        <f>IF($AB$12="","",$AB$12)</f>
        <v/>
      </c>
      <c r="E23" s="51">
        <f>IF($AC$12="","",$AC$12)</f>
        <v>1</v>
      </c>
      <c r="F23" s="51" t="str">
        <f>IF($AD$12="","",$AD$12)</f>
        <v>بله</v>
      </c>
      <c r="H23" s="91" t="s">
        <v>457</v>
      </c>
    </row>
    <row r="24" spans="2:9" ht="19.95" customHeight="1">
      <c r="B24" s="114" t="str">
        <f>IF($AE$12="","","توضیحات: "&amp;$AE$12)</f>
        <v>توضیحات: dsfasdf</v>
      </c>
      <c r="C24" s="114"/>
      <c r="D24" s="114"/>
      <c r="E24" s="114"/>
      <c r="F24" s="114"/>
      <c r="H24" s="91" t="s">
        <v>458</v>
      </c>
    </row>
    <row r="25" spans="2:9" ht="19.95" customHeight="1">
      <c r="B25" s="51" t="str">
        <f>IF($Z$13="","",$Z$13)</f>
        <v/>
      </c>
      <c r="C25" s="51" t="str">
        <f>IF($AA$13="","",$AA$13)</f>
        <v/>
      </c>
      <c r="D25" s="51" t="str">
        <f>IF($AB$13="","",$AB$13)</f>
        <v/>
      </c>
      <c r="E25" s="51" t="str">
        <f>IF($AC$13="","",$AC$13)</f>
        <v/>
      </c>
      <c r="F25" s="51" t="str">
        <f>IF($AD$13="","",$AD$13)</f>
        <v/>
      </c>
      <c r="H25" s="91" t="s">
        <v>459</v>
      </c>
    </row>
    <row r="26" spans="2:9" ht="19.95" customHeight="1">
      <c r="B26" s="114" t="str">
        <f>IF($AE$13="","","توضیحات: "&amp;$AE$13)</f>
        <v/>
      </c>
      <c r="C26" s="114"/>
      <c r="D26" s="114"/>
      <c r="E26" s="114"/>
      <c r="F26" s="114"/>
      <c r="H26" s="91" t="s">
        <v>460</v>
      </c>
    </row>
    <row r="27" spans="2:9" ht="19.95" customHeight="1">
      <c r="B27" s="51" t="str">
        <f>IF($Z$14="","",$Z$14)</f>
        <v/>
      </c>
      <c r="C27" s="51" t="str">
        <f>IF($AA$14="","",$AA$14)</f>
        <v/>
      </c>
      <c r="D27" s="51" t="str">
        <f>IF($AB$14="","",$AB$14)</f>
        <v/>
      </c>
      <c r="E27" s="51" t="str">
        <f>IF($AC$14="","",$AC$14)</f>
        <v/>
      </c>
      <c r="F27" s="51" t="str">
        <f>IF($AD$14="","",$AD$14)</f>
        <v/>
      </c>
      <c r="H27" s="91" t="s">
        <v>461</v>
      </c>
    </row>
    <row r="28" spans="2:9" ht="19.95" customHeight="1">
      <c r="B28" s="114" t="str">
        <f>IF($AE$14="","","توضیحات: "&amp;$AE$14)</f>
        <v/>
      </c>
      <c r="C28" s="114"/>
      <c r="D28" s="114"/>
      <c r="E28" s="114"/>
      <c r="F28" s="114"/>
      <c r="H28" s="91" t="s">
        <v>462</v>
      </c>
    </row>
    <row r="29" spans="2:9" ht="19.95" customHeight="1">
      <c r="B29" s="51" t="str">
        <f>IF($Z$15="","",$Z$15)</f>
        <v/>
      </c>
      <c r="C29" s="51" t="str">
        <f>IF($AA$15="","",$AA$15)</f>
        <v/>
      </c>
      <c r="D29" s="51" t="str">
        <f>IF($AB$15="","",$AB$15)</f>
        <v/>
      </c>
      <c r="E29" s="51" t="str">
        <f>IF($AC$15="","",$AC$15)</f>
        <v/>
      </c>
      <c r="F29" s="51" t="str">
        <f>IF($AD$15="","",$AD$15)</f>
        <v/>
      </c>
      <c r="H29" s="91" t="s">
        <v>463</v>
      </c>
    </row>
    <row r="30" spans="2:9" ht="19.95" customHeight="1">
      <c r="B30" s="114" t="str">
        <f>IF($AE$15="","","توضیحات: "&amp;$AE$15)</f>
        <v/>
      </c>
      <c r="C30" s="114"/>
      <c r="D30" s="114"/>
      <c r="E30" s="114"/>
      <c r="F30" s="114"/>
      <c r="I30" s="92"/>
    </row>
    <row r="31" spans="2:9" ht="24.9" customHeight="1">
      <c r="B31" s="93"/>
      <c r="C31" s="93"/>
      <c r="D31" s="93"/>
      <c r="E31" s="93"/>
      <c r="F31" s="93"/>
    </row>
    <row r="32" spans="2:9">
      <c r="B32" s="98" t="s">
        <v>434</v>
      </c>
    </row>
    <row r="34" spans="2:27">
      <c r="B34" s="94" t="s">
        <v>443</v>
      </c>
      <c r="C34" s="87" cm="1">
        <f t="array" ref="C34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ملی]&amp;""=$Z$1&amp;""),_xlpm.result,_xlfn._xlws.FILTER(FitnessTbl[وزن],FitnessTbl[کد ملی]&amp;""=$Z$1&amp;""),INDEX(_xlfn.SORTBY(_xlpm.result,_xlpm.testDate,-1),1)),""))</f>
        <v>78</v>
      </c>
      <c r="D34" s="68"/>
      <c r="E34" s="94" t="s">
        <v>448</v>
      </c>
      <c r="F34" s="95"/>
      <c r="H34" s="94" t="s">
        <v>465</v>
      </c>
      <c r="I34" s="96"/>
    </row>
    <row r="35" spans="2:27">
      <c r="B35" s="94" t="s">
        <v>444</v>
      </c>
      <c r="C35" s="87" cm="1">
        <f t="array" ref="C35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ملی]&amp;""=$Z$1&amp;""),_xlpm.result,_xlfn._xlws.FILTER(FitnessTbl[درصد چربی بدن],FitnessTbl[کد ملی]&amp;""=$Z$1&amp;""),INDEX(_xlfn.SORTBY(_xlpm.result,_xlpm.testDate,-1),1)),""))</f>
        <v>0.115</v>
      </c>
      <c r="D35" s="68"/>
      <c r="E35" s="94" t="s">
        <v>449</v>
      </c>
      <c r="F35" s="95"/>
      <c r="H35" s="94" t="s">
        <v>466</v>
      </c>
      <c r="I35" s="96"/>
    </row>
    <row r="36" spans="2:27">
      <c r="B36" s="94" t="s">
        <v>445</v>
      </c>
      <c r="C36" s="87" cm="1">
        <f t="array" ref="C36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ملی]&amp;""=$Z$1&amp;""),_xlpm.result,_xlfn._xlws.FILTER(FitnessTbl[Yo-Yo Test],FitnessTbl[کد ملی]&amp;""=$Z$1&amp;""),INDEX(_xlfn.SORTBY(_xlpm.result,_xlpm.testDate,-1),1)),""))</f>
        <v>1640</v>
      </c>
      <c r="D36" s="68"/>
      <c r="E36" s="94" t="s">
        <v>450</v>
      </c>
      <c r="F36" s="95"/>
      <c r="H36" s="94" t="s">
        <v>467</v>
      </c>
      <c r="I36" s="96"/>
    </row>
    <row r="37" spans="2:27">
      <c r="B37" s="94" t="s">
        <v>446</v>
      </c>
      <c r="C37" s="87" cm="1">
        <f t="array" ref="C37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ملی]&amp;""=$Z$1&amp;""),_xlpm.result,_xlfn._xlws.FILTER(FitnessTbl[۱۰ متر],FitnessTbl[کد ملی]&amp;""=$Z$1&amp;""),INDEX(_xlfn.SORTBY(_xlpm.result,_xlpm.testDate,-1),1)),""))</f>
        <v>1.75</v>
      </c>
      <c r="D37" s="68"/>
      <c r="E37" s="94" t="s">
        <v>451</v>
      </c>
      <c r="F37" s="95"/>
      <c r="H37" s="94" t="s">
        <v>468</v>
      </c>
      <c r="I37" s="96"/>
    </row>
    <row r="38" spans="2:27">
      <c r="B38" s="94" t="s">
        <v>447</v>
      </c>
      <c r="C38" s="87" t="str" cm="1">
        <f t="array" ref="C38">IF($Z$1="","",IFERROR(_xlfn.LET(_xlpm.id,_xlfn._xlws.FILTER(FitnessTbl[کد ملی],FitnessTbl[کد ملی]&amp;""=$Z$1&amp;""),_xlpm.testDate,_xlfn._xlws.FILTER(FitnessTbl[تاریخ تست],FitnessTbl[کد ملی]&amp;""=$Z$1&amp;""),_xlpm.result,_xlfn._xlws.FILTER(FitnessTbl[تاریخ تست],FitnessTbl[کد ملی]&amp;""=$Z$1&amp;""),INDEX(_xlfn.SORTBY(_xlpm.result,_xlpm.testDate,-1),1)),""))</f>
        <v>1405/01/01</v>
      </c>
      <c r="D38" s="68"/>
      <c r="E38" s="94" t="s">
        <v>452</v>
      </c>
      <c r="F38" s="95"/>
    </row>
    <row r="39" spans="2:27">
      <c r="B39" s="68"/>
      <c r="C39" s="68"/>
      <c r="D39" s="68"/>
      <c r="E39" s="94" t="s">
        <v>453</v>
      </c>
      <c r="F39" s="95"/>
    </row>
    <row r="40" spans="2:27">
      <c r="B40" s="68"/>
      <c r="C40" s="68"/>
      <c r="D40" s="68"/>
      <c r="E40" s="94" t="s">
        <v>454</v>
      </c>
      <c r="F40" s="95"/>
    </row>
    <row r="46" spans="2:27">
      <c r="Z46" s="62" t="str" cm="1">
        <f t="array" ref="Z46">IF($Z$1="","",IFERROR(_xlfn.LET(_xlpm.d,_xlfn._xlws.FILTER(FitnessTbl[تاریخ تست],FitnessTbl[کد ملی]&amp;""=$Z$1&amp;""),_xlfn.TAKE(_xlfn._xlws.SORT(_xlpm.d,1,-1),6)),""))</f>
        <v>1405/01/01</v>
      </c>
      <c r="AA46" s="62" cm="1">
        <f t="array" ref="AA46">IF($Z$1="","",IFERROR(_xlfn.LET(_xlpm.d,_xlfn._xlws.FILTER(FitnessTbl[تاریخ تست],FitnessTbl[کد ملی]&amp;""=$Z$1&amp;""),_xlpm.v,_xlfn._xlws.FILTER(FitnessTbl[آمادگی کلی],FitnessTbl[کد ملی]&amp;""=$Z$1&amp;""),INDEX(_xlfn.SORTBY(_xlpm.v,_xlpm.d,-1),_xlfn.SEQUENCE(MIN(6,ROWS(_xlpm.v))))),""))</f>
        <v>9.1999999999999993</v>
      </c>
    </row>
  </sheetData>
  <mergeCells count="5">
    <mergeCell ref="B30:F30"/>
    <mergeCell ref="E6:F6"/>
    <mergeCell ref="B24:F24"/>
    <mergeCell ref="B26:F26"/>
    <mergeCell ref="B28:F28"/>
  </mergeCells>
  <phoneticPr fontId="2" type="noConversion"/>
  <conditionalFormatting sqref="I14">
    <cfRule type="cellIs" dxfId="3" priority="1" operator="between">
      <formula>0</formula>
      <formula>2.9</formula>
    </cfRule>
    <cfRule type="cellIs" dxfId="2" priority="2" operator="between">
      <formula>3.1</formula>
      <formula>6.9</formula>
    </cfRule>
    <cfRule type="cellIs" dxfId="1" priority="3" operator="between">
      <formula>6</formula>
      <formula>7.9</formula>
    </cfRule>
    <cfRule type="cellIs" dxfId="0" priority="4" operator="between">
      <formula>8</formula>
      <formula>10</formula>
    </cfRule>
  </conditionalFormatting>
  <dataValidations count="1">
    <dataValidation type="list" allowBlank="1" showInputMessage="1" showErrorMessage="1" sqref="E6" xr:uid="{DEAAC50B-8B41-404A-9C39-547F43873CE0}">
      <formula1>_xlfn.ANCHORARRAY($X$3)</formula1>
    </dataValidation>
  </dataValidations>
  <pageMargins left="0.70866141732283472" right="0.70866141732283472" top="0.74803149606299213" bottom="0.74803149606299213" header="0.31496062992125984" footer="0.31496062992125984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CCAEB-5FC1-41CD-8798-A175B2E4C2E3}">
  <sheetPr codeName="Sheet18"/>
  <dimension ref="A1:D11"/>
  <sheetViews>
    <sheetView rightToLeft="1" workbookViewId="0">
      <selection activeCell="A7" sqref="A1:C11"/>
    </sheetView>
  </sheetViews>
  <sheetFormatPr defaultRowHeight="15.6"/>
  <cols>
    <col min="1" max="1" width="15" style="36" customWidth="1"/>
    <col min="2" max="2" width="35" style="36" customWidth="1"/>
    <col min="3" max="3" width="20" style="36" customWidth="1"/>
    <col min="4" max="4" width="8.69921875" style="36"/>
  </cols>
  <sheetData>
    <row r="1" spans="1:3" ht="21.6">
      <c r="A1" s="73" t="s">
        <v>3</v>
      </c>
      <c r="B1" s="73" t="s">
        <v>205</v>
      </c>
      <c r="C1" s="73" t="s">
        <v>12</v>
      </c>
    </row>
    <row r="2" spans="1:3" ht="31.95" customHeight="1">
      <c r="A2" s="79">
        <v>4420987654</v>
      </c>
      <c r="B2" s="79"/>
      <c r="C2" s="79" t="s">
        <v>428</v>
      </c>
    </row>
    <row r="3" spans="1:3" ht="31.95" customHeight="1">
      <c r="A3" s="79">
        <v>5031987432</v>
      </c>
      <c r="B3" s="79"/>
      <c r="C3" s="79"/>
    </row>
    <row r="4" spans="1:3" ht="31.95" customHeight="1">
      <c r="A4" s="79">
        <v>3876543210</v>
      </c>
      <c r="B4" s="79"/>
      <c r="C4" s="79" t="s">
        <v>427</v>
      </c>
    </row>
    <row r="5" spans="1:3" ht="31.95" customHeight="1">
      <c r="A5" s="79">
        <v>6189076543</v>
      </c>
      <c r="B5" s="79"/>
      <c r="C5" s="79"/>
    </row>
    <row r="6" spans="1:3" ht="31.95" customHeight="1">
      <c r="A6" s="79">
        <v>2954321876</v>
      </c>
      <c r="B6" s="79"/>
      <c r="C6" s="79"/>
    </row>
    <row r="7" spans="1:3" ht="31.95" customHeight="1">
      <c r="A7" s="79">
        <v>7321890543</v>
      </c>
      <c r="B7" s="79"/>
      <c r="C7" s="79"/>
    </row>
    <row r="8" spans="1:3" ht="31.95" customHeight="1">
      <c r="A8" s="79">
        <v>8456732190</v>
      </c>
      <c r="B8" s="79"/>
      <c r="C8" s="79"/>
    </row>
    <row r="9" spans="1:3" ht="31.95" customHeight="1">
      <c r="A9" s="79">
        <v>1604987325</v>
      </c>
      <c r="B9" s="79"/>
      <c r="C9" s="79"/>
    </row>
    <row r="10" spans="1:3" ht="31.95" customHeight="1">
      <c r="A10" s="79">
        <v>9543216780</v>
      </c>
      <c r="B10" s="79"/>
      <c r="C10" s="79"/>
    </row>
    <row r="11" spans="1:3" ht="31.95" customHeight="1">
      <c r="A11" s="79">
        <v>5076198432</v>
      </c>
      <c r="B11" s="79"/>
      <c r="C11" s="79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0D159-9DB2-49C5-BCA0-77C52875D8AC}">
  <sheetPr codeName="Sheet4"/>
  <dimension ref="C1:H1"/>
  <sheetViews>
    <sheetView rightToLeft="1" workbookViewId="0">
      <selection activeCell="H1" sqref="H1"/>
    </sheetView>
  </sheetViews>
  <sheetFormatPr defaultColWidth="8.69921875" defaultRowHeight="15.6"/>
  <cols>
    <col min="1" max="2" width="8.69921875" style="1"/>
    <col min="3" max="3" width="12.19921875" style="1" bestFit="1" customWidth="1"/>
    <col min="4" max="4" width="12.8984375" style="1" bestFit="1" customWidth="1"/>
    <col min="5" max="5" width="9" style="1" bestFit="1" customWidth="1"/>
    <col min="6" max="6" width="11.09765625" style="1" bestFit="1" customWidth="1"/>
    <col min="7" max="7" width="15.69921875" style="1" bestFit="1" customWidth="1"/>
    <col min="8" max="8" width="10.69921875" style="1" bestFit="1" customWidth="1"/>
    <col min="9" max="16384" width="8.69921875" style="1"/>
  </cols>
  <sheetData>
    <row r="1" spans="3:8">
      <c r="C1" s="1" t="s">
        <v>173</v>
      </c>
      <c r="D1" s="1" t="s">
        <v>174</v>
      </c>
      <c r="E1" s="1" t="s">
        <v>175</v>
      </c>
      <c r="F1" s="1" t="s">
        <v>176</v>
      </c>
      <c r="G1" s="1" t="s">
        <v>177</v>
      </c>
      <c r="H1" s="1" t="s">
        <v>178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0F399-8C63-46AA-880D-9177B3E44172}">
  <sheetPr codeName="Sheet5"/>
  <dimension ref="A1:O19"/>
  <sheetViews>
    <sheetView rightToLeft="1" workbookViewId="0">
      <pane ySplit="1" topLeftCell="A2" activePane="bottomLeft" state="frozen"/>
      <selection pane="bottomLeft" activeCell="K6" sqref="K6"/>
    </sheetView>
  </sheetViews>
  <sheetFormatPr defaultColWidth="8.69921875" defaultRowHeight="15.6"/>
  <cols>
    <col min="1" max="1" width="14.19921875" style="2" bestFit="1" customWidth="1"/>
    <col min="2" max="2" width="8.69921875" style="2"/>
    <col min="3" max="3" width="10.69921875" style="2" customWidth="1"/>
    <col min="4" max="4" width="9.69921875" style="2" customWidth="1"/>
    <col min="5" max="5" width="14.69921875" style="2" customWidth="1"/>
    <col min="6" max="7" width="10.3984375" style="2" customWidth="1"/>
    <col min="8" max="8" width="11.19921875" style="2" customWidth="1"/>
    <col min="9" max="10" width="8.796875" style="2" bestFit="1" customWidth="1"/>
    <col min="11" max="11" width="12.19921875" style="2" bestFit="1" customWidth="1"/>
    <col min="12" max="12" width="8.69921875" style="2"/>
    <col min="13" max="13" width="15.59765625" style="2" bestFit="1" customWidth="1"/>
    <col min="14" max="14" width="19.69921875" style="2" bestFit="1" customWidth="1"/>
    <col min="15" max="15" width="9.59765625" style="2" customWidth="1"/>
    <col min="16" max="16384" width="8.69921875" style="2"/>
  </cols>
  <sheetData>
    <row r="1" spans="1:15">
      <c r="A1" s="5" t="s">
        <v>3</v>
      </c>
      <c r="B1" s="5" t="s">
        <v>1</v>
      </c>
      <c r="C1" s="5" t="s">
        <v>2</v>
      </c>
      <c r="D1" s="5" t="s">
        <v>4</v>
      </c>
      <c r="E1" s="2" t="s">
        <v>8</v>
      </c>
      <c r="F1" s="2" t="s">
        <v>9</v>
      </c>
      <c r="G1" s="2" t="s">
        <v>437</v>
      </c>
      <c r="H1" s="2" t="s">
        <v>10</v>
      </c>
      <c r="I1" s="2" t="s">
        <v>5</v>
      </c>
      <c r="J1" s="2" t="s">
        <v>6</v>
      </c>
      <c r="K1" s="2" t="s">
        <v>155</v>
      </c>
      <c r="L1" s="2" t="s">
        <v>11</v>
      </c>
      <c r="M1" s="2" t="s">
        <v>207</v>
      </c>
      <c r="N1" s="2" t="s">
        <v>208</v>
      </c>
      <c r="O1" s="2" t="s">
        <v>12</v>
      </c>
    </row>
    <row r="2" spans="1:15" ht="18.600000000000001">
      <c r="A2" s="69">
        <v>4420987654</v>
      </c>
      <c r="B2" s="69" t="s">
        <v>255</v>
      </c>
      <c r="C2" s="69" t="s">
        <v>256</v>
      </c>
      <c r="D2" s="69" t="s">
        <v>257</v>
      </c>
      <c r="E2" s="69">
        <v>912345678</v>
      </c>
      <c r="F2" s="69" t="s">
        <v>258</v>
      </c>
      <c r="G2" s="69" t="s">
        <v>258</v>
      </c>
      <c r="H2" s="69" t="s">
        <v>180</v>
      </c>
      <c r="I2" s="69">
        <v>182</v>
      </c>
      <c r="J2" s="69">
        <v>78</v>
      </c>
      <c r="K2" s="69" t="s">
        <v>259</v>
      </c>
      <c r="L2" s="69" t="s">
        <v>17</v>
      </c>
      <c r="M2" s="69" t="s">
        <v>260</v>
      </c>
      <c r="N2" s="69" t="s">
        <v>261</v>
      </c>
      <c r="O2" s="69"/>
    </row>
    <row r="3" spans="1:15" ht="18.600000000000001">
      <c r="A3" s="69">
        <v>5031987432</v>
      </c>
      <c r="B3" s="69" t="s">
        <v>262</v>
      </c>
      <c r="C3" s="69" t="s">
        <v>263</v>
      </c>
      <c r="D3" s="69" t="s">
        <v>264</v>
      </c>
      <c r="E3" s="69">
        <v>936789012</v>
      </c>
      <c r="F3" s="69" t="s">
        <v>184</v>
      </c>
      <c r="G3" s="69"/>
      <c r="H3" s="69" t="s">
        <v>181</v>
      </c>
      <c r="I3" s="69">
        <v>176</v>
      </c>
      <c r="J3" s="69">
        <v>74</v>
      </c>
      <c r="K3" s="69" t="s">
        <v>210</v>
      </c>
      <c r="L3" s="69" t="s">
        <v>17</v>
      </c>
      <c r="M3" s="69" t="s">
        <v>265</v>
      </c>
      <c r="N3" s="69" t="s">
        <v>266</v>
      </c>
      <c r="O3" s="69"/>
    </row>
    <row r="4" spans="1:15" ht="18.600000000000001">
      <c r="A4" s="69">
        <v>3876543210</v>
      </c>
      <c r="B4" s="69" t="s">
        <v>267</v>
      </c>
      <c r="C4" s="69" t="s">
        <v>268</v>
      </c>
      <c r="D4" s="69" t="s">
        <v>269</v>
      </c>
      <c r="E4" s="69">
        <v>902233445</v>
      </c>
      <c r="F4" s="69" t="s">
        <v>186</v>
      </c>
      <c r="G4" s="69" t="s">
        <v>184</v>
      </c>
      <c r="H4" s="69" t="s">
        <v>180</v>
      </c>
      <c r="I4" s="69">
        <v>185</v>
      </c>
      <c r="J4" s="69">
        <v>82</v>
      </c>
      <c r="K4" s="69" t="s">
        <v>270</v>
      </c>
      <c r="L4" s="69" t="s">
        <v>19</v>
      </c>
      <c r="M4" s="69" t="s">
        <v>271</v>
      </c>
      <c r="N4" s="69" t="s">
        <v>272</v>
      </c>
      <c r="O4" s="69"/>
    </row>
    <row r="5" spans="1:15" ht="18.600000000000001">
      <c r="A5" s="69">
        <v>6189076543</v>
      </c>
      <c r="B5" s="69" t="s">
        <v>209</v>
      </c>
      <c r="C5" s="69" t="s">
        <v>273</v>
      </c>
      <c r="D5" s="69" t="s">
        <v>274</v>
      </c>
      <c r="E5" s="69">
        <v>939876543</v>
      </c>
      <c r="F5" s="69" t="s">
        <v>186</v>
      </c>
      <c r="G5" s="69"/>
      <c r="H5" s="69" t="s">
        <v>181</v>
      </c>
      <c r="I5" s="69">
        <v>179</v>
      </c>
      <c r="J5" s="69">
        <v>76</v>
      </c>
      <c r="K5" s="69" t="s">
        <v>212</v>
      </c>
      <c r="L5" s="69" t="s">
        <v>17</v>
      </c>
      <c r="M5" s="69" t="s">
        <v>275</v>
      </c>
      <c r="N5" s="69" t="s">
        <v>276</v>
      </c>
      <c r="O5" s="69"/>
    </row>
    <row r="6" spans="1:15" ht="18.600000000000001">
      <c r="A6" s="69">
        <v>2954321876</v>
      </c>
      <c r="B6" s="69" t="s">
        <v>277</v>
      </c>
      <c r="C6" s="69" t="s">
        <v>278</v>
      </c>
      <c r="D6" s="69" t="s">
        <v>279</v>
      </c>
      <c r="E6" s="69">
        <v>903827465</v>
      </c>
      <c r="F6" s="69" t="s">
        <v>185</v>
      </c>
      <c r="G6" s="69"/>
      <c r="H6" s="69" t="s">
        <v>180</v>
      </c>
      <c r="I6" s="69">
        <v>170</v>
      </c>
      <c r="J6" s="69">
        <v>68</v>
      </c>
      <c r="K6" s="69" t="s">
        <v>211</v>
      </c>
      <c r="L6" s="69" t="s">
        <v>17</v>
      </c>
      <c r="M6" s="69" t="s">
        <v>280</v>
      </c>
      <c r="N6" s="69" t="s">
        <v>281</v>
      </c>
      <c r="O6" s="69"/>
    </row>
    <row r="7" spans="1:15" ht="18.600000000000001">
      <c r="A7" s="69">
        <v>7321890543</v>
      </c>
      <c r="B7" s="69" t="s">
        <v>282</v>
      </c>
      <c r="C7" s="69" t="s">
        <v>283</v>
      </c>
      <c r="D7" s="69" t="s">
        <v>284</v>
      </c>
      <c r="E7" s="69">
        <v>933123456</v>
      </c>
      <c r="F7" s="69" t="s">
        <v>184</v>
      </c>
      <c r="G7" s="69"/>
      <c r="H7" s="69" t="s">
        <v>180</v>
      </c>
      <c r="I7" s="69">
        <v>188</v>
      </c>
      <c r="J7" s="69">
        <v>85</v>
      </c>
      <c r="K7" s="69" t="s">
        <v>285</v>
      </c>
      <c r="L7" s="69" t="s">
        <v>18</v>
      </c>
      <c r="M7" s="69" t="s">
        <v>286</v>
      </c>
      <c r="N7" s="69" t="s">
        <v>287</v>
      </c>
      <c r="O7" s="69"/>
    </row>
    <row r="8" spans="1:15" ht="18.600000000000001">
      <c r="A8" s="69">
        <v>8456732190</v>
      </c>
      <c r="B8" s="69" t="s">
        <v>288</v>
      </c>
      <c r="C8" s="69" t="s">
        <v>289</v>
      </c>
      <c r="D8" s="69" t="s">
        <v>290</v>
      </c>
      <c r="E8" s="69">
        <v>905678901</v>
      </c>
      <c r="F8" s="69" t="s">
        <v>184</v>
      </c>
      <c r="G8" s="69" t="s">
        <v>185</v>
      </c>
      <c r="H8" s="69" t="s">
        <v>181</v>
      </c>
      <c r="I8" s="69">
        <v>174</v>
      </c>
      <c r="J8" s="69">
        <v>72</v>
      </c>
      <c r="K8" s="69" t="s">
        <v>259</v>
      </c>
      <c r="L8" s="69" t="s">
        <v>17</v>
      </c>
      <c r="M8" s="69" t="s">
        <v>291</v>
      </c>
      <c r="N8" s="69" t="s">
        <v>292</v>
      </c>
      <c r="O8" s="69"/>
    </row>
    <row r="9" spans="1:15" ht="18.600000000000001">
      <c r="A9" s="69">
        <v>1604987325</v>
      </c>
      <c r="B9" s="69" t="s">
        <v>293</v>
      </c>
      <c r="C9" s="69" t="s">
        <v>294</v>
      </c>
      <c r="D9" s="69" t="s">
        <v>295</v>
      </c>
      <c r="E9" s="69">
        <v>937654321</v>
      </c>
      <c r="F9" s="69" t="s">
        <v>186</v>
      </c>
      <c r="G9" s="69"/>
      <c r="H9" s="69" t="s">
        <v>180</v>
      </c>
      <c r="I9" s="69">
        <v>180</v>
      </c>
      <c r="J9" s="69">
        <v>79</v>
      </c>
      <c r="K9" s="69" t="s">
        <v>296</v>
      </c>
      <c r="L9" s="69" t="s">
        <v>17</v>
      </c>
      <c r="M9" s="69" t="s">
        <v>297</v>
      </c>
      <c r="N9" s="69" t="s">
        <v>298</v>
      </c>
      <c r="O9" s="69"/>
    </row>
    <row r="10" spans="1:15" ht="18.600000000000001">
      <c r="A10" s="69">
        <v>9543216780</v>
      </c>
      <c r="B10" s="69" t="s">
        <v>299</v>
      </c>
      <c r="C10" s="69" t="s">
        <v>300</v>
      </c>
      <c r="D10" s="69" t="s">
        <v>301</v>
      </c>
      <c r="E10" s="69">
        <v>904567890</v>
      </c>
      <c r="F10" s="69" t="s">
        <v>186</v>
      </c>
      <c r="G10" s="69"/>
      <c r="H10" s="69" t="s">
        <v>180</v>
      </c>
      <c r="I10" s="69">
        <v>178</v>
      </c>
      <c r="J10" s="69">
        <v>75</v>
      </c>
      <c r="K10" s="69" t="s">
        <v>302</v>
      </c>
      <c r="L10" s="69" t="s">
        <v>18</v>
      </c>
      <c r="M10" s="69" t="s">
        <v>303</v>
      </c>
      <c r="N10" s="69" t="s">
        <v>304</v>
      </c>
      <c r="O10" s="69"/>
    </row>
    <row r="11" spans="1:15" ht="18.600000000000001">
      <c r="A11" s="69">
        <v>5076198432</v>
      </c>
      <c r="B11" s="69" t="s">
        <v>305</v>
      </c>
      <c r="C11" s="69" t="s">
        <v>306</v>
      </c>
      <c r="D11" s="69" t="s">
        <v>307</v>
      </c>
      <c r="E11" s="69">
        <v>939281746</v>
      </c>
      <c r="F11" s="69" t="s">
        <v>258</v>
      </c>
      <c r="G11" s="69" t="s">
        <v>183</v>
      </c>
      <c r="H11" s="69" t="s">
        <v>181</v>
      </c>
      <c r="I11" s="69">
        <v>183</v>
      </c>
      <c r="J11" s="69">
        <v>80</v>
      </c>
      <c r="K11" s="69" t="s">
        <v>210</v>
      </c>
      <c r="L11" s="69" t="s">
        <v>17</v>
      </c>
      <c r="M11" s="69" t="s">
        <v>308</v>
      </c>
      <c r="N11" s="69" t="s">
        <v>309</v>
      </c>
      <c r="O11" s="69"/>
    </row>
    <row r="14" spans="1:15">
      <c r="A14"/>
    </row>
    <row r="15" spans="1:15">
      <c r="A15"/>
    </row>
    <row r="16" spans="1:15">
      <c r="A16"/>
    </row>
    <row r="17" spans="1:1">
      <c r="A17"/>
    </row>
    <row r="18" spans="1:1">
      <c r="A18"/>
    </row>
    <row r="19" spans="1:1">
      <c r="A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D7A9EBA-E51B-44E4-A4CE-46602CB59166}">
          <x14:formula1>
            <xm:f>Lookup!$E$2:$E$4</xm:f>
          </x14:formula1>
          <xm:sqref>H2:H11</xm:sqref>
        </x14:dataValidation>
        <x14:dataValidation type="list" allowBlank="1" showInputMessage="1" showErrorMessage="1" xr:uid="{E89B57D8-D6B1-418A-B515-74CFC5EE576D}">
          <x14:formula1>
            <xm:f>Lookup!$G$2:$G$6</xm:f>
          </x14:formula1>
          <xm:sqref>F2:G11</xm:sqref>
        </x14:dataValidation>
        <x14:dataValidation type="list" allowBlank="1" showInputMessage="1" showErrorMessage="1" xr:uid="{6392643D-EF44-4839-8592-35574C944E70}">
          <x14:formula1>
            <xm:f>Lookup!$A$2:$A$5</xm:f>
          </x14:formula1>
          <xm:sqref>L2:L11 N2:N11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63F73-DFBE-48D6-97DC-01ACB23A46F6}">
  <sheetPr codeName="Sheet19"/>
  <dimension ref="A1:J11"/>
  <sheetViews>
    <sheetView rightToLeft="1" workbookViewId="0">
      <selection activeCell="D17" sqref="D17"/>
    </sheetView>
  </sheetViews>
  <sheetFormatPr defaultColWidth="8.69921875" defaultRowHeight="18.600000000000001"/>
  <cols>
    <col min="1" max="1" width="13.69921875" style="75" customWidth="1"/>
    <col min="2" max="2" width="11.5" style="75" customWidth="1"/>
    <col min="3" max="3" width="17.69921875" style="75" customWidth="1"/>
    <col min="4" max="5" width="15.5" style="75" customWidth="1"/>
    <col min="6" max="6" width="15.3984375" style="75" bestFit="1" customWidth="1"/>
    <col min="7" max="7" width="8.19921875" style="75" customWidth="1"/>
    <col min="8" max="8" width="40.3984375" style="75" customWidth="1"/>
    <col min="9" max="9" width="15.3984375" style="78" customWidth="1"/>
    <col min="10" max="10" width="10.8984375" style="75" bestFit="1" customWidth="1"/>
    <col min="11" max="11" width="9.59765625" style="75" customWidth="1"/>
    <col min="12" max="16384" width="8.69921875" style="75"/>
  </cols>
  <sheetData>
    <row r="1" spans="1:10">
      <c r="A1" s="74" t="s">
        <v>3</v>
      </c>
      <c r="B1" s="74" t="s">
        <v>372</v>
      </c>
      <c r="C1" s="74" t="s">
        <v>373</v>
      </c>
      <c r="D1" s="74" t="s">
        <v>374</v>
      </c>
      <c r="E1" s="74" t="s">
        <v>737</v>
      </c>
      <c r="F1" s="74" t="s">
        <v>736</v>
      </c>
      <c r="G1" s="74" t="s">
        <v>36</v>
      </c>
      <c r="H1" s="74" t="s">
        <v>375</v>
      </c>
      <c r="I1" s="74" t="s">
        <v>376</v>
      </c>
      <c r="J1" s="74" t="s">
        <v>12</v>
      </c>
    </row>
    <row r="2" spans="1:10">
      <c r="A2" s="75">
        <v>4420987654</v>
      </c>
      <c r="B2" s="76" t="s">
        <v>406</v>
      </c>
      <c r="C2" s="76" t="s">
        <v>416</v>
      </c>
      <c r="D2" s="75" t="s">
        <v>377</v>
      </c>
      <c r="E2" s="75" t="s">
        <v>738</v>
      </c>
      <c r="F2" s="75" t="s">
        <v>378</v>
      </c>
      <c r="G2" s="75" t="s">
        <v>324</v>
      </c>
      <c r="H2" s="75" t="s">
        <v>379</v>
      </c>
      <c r="I2" s="75">
        <v>7941836548</v>
      </c>
    </row>
    <row r="3" spans="1:10">
      <c r="A3" s="75">
        <v>5031987432</v>
      </c>
      <c r="B3" s="76" t="s">
        <v>407</v>
      </c>
      <c r="C3" s="76" t="s">
        <v>417</v>
      </c>
      <c r="D3" s="75" t="s">
        <v>380</v>
      </c>
      <c r="E3" s="75" t="s">
        <v>738</v>
      </c>
      <c r="F3" s="75" t="s">
        <v>381</v>
      </c>
      <c r="G3" s="75" t="s">
        <v>322</v>
      </c>
      <c r="H3" s="75" t="s">
        <v>382</v>
      </c>
      <c r="I3" s="75">
        <v>7516714589</v>
      </c>
    </row>
    <row r="4" spans="1:10">
      <c r="A4" s="75">
        <v>3876543210</v>
      </c>
      <c r="B4" s="76" t="s">
        <v>408</v>
      </c>
      <c r="C4" s="76" t="s">
        <v>418</v>
      </c>
      <c r="D4" s="75" t="s">
        <v>383</v>
      </c>
      <c r="E4" s="75" t="s">
        <v>738</v>
      </c>
      <c r="F4" s="75" t="s">
        <v>384</v>
      </c>
      <c r="G4" s="75" t="s">
        <v>221</v>
      </c>
      <c r="H4" s="75" t="s">
        <v>385</v>
      </c>
      <c r="I4" s="75">
        <v>1964667843</v>
      </c>
    </row>
    <row r="5" spans="1:10">
      <c r="A5" s="75">
        <v>6189076543</v>
      </c>
      <c r="B5" s="76" t="s">
        <v>409</v>
      </c>
      <c r="C5" s="76" t="s">
        <v>419</v>
      </c>
      <c r="D5" s="75" t="s">
        <v>386</v>
      </c>
      <c r="E5" s="75" t="s">
        <v>738</v>
      </c>
      <c r="F5" s="75" t="s">
        <v>387</v>
      </c>
      <c r="G5" s="75" t="s">
        <v>389</v>
      </c>
      <c r="H5" s="75" t="s">
        <v>388</v>
      </c>
      <c r="I5" s="75">
        <v>7136751856</v>
      </c>
    </row>
    <row r="6" spans="1:10">
      <c r="A6" s="75">
        <v>2954321876</v>
      </c>
      <c r="B6" s="76" t="s">
        <v>410</v>
      </c>
      <c r="C6" s="76" t="s">
        <v>420</v>
      </c>
      <c r="D6" s="75" t="s">
        <v>390</v>
      </c>
      <c r="E6" s="75" t="s">
        <v>738</v>
      </c>
      <c r="F6" s="75" t="s">
        <v>391</v>
      </c>
      <c r="G6" s="75" t="s">
        <v>220</v>
      </c>
      <c r="H6" s="75" t="s">
        <v>392</v>
      </c>
      <c r="I6" s="75">
        <v>8195413627</v>
      </c>
    </row>
    <row r="7" spans="1:10">
      <c r="A7" s="75">
        <v>7321890543</v>
      </c>
      <c r="B7" s="76" t="s">
        <v>411</v>
      </c>
      <c r="C7" s="76" t="s">
        <v>421</v>
      </c>
      <c r="D7" s="75" t="s">
        <v>393</v>
      </c>
      <c r="E7" s="75" t="s">
        <v>738</v>
      </c>
      <c r="F7" s="75" t="s">
        <v>378</v>
      </c>
      <c r="G7" s="75" t="s">
        <v>325</v>
      </c>
      <c r="H7" s="75" t="s">
        <v>394</v>
      </c>
      <c r="I7" s="75">
        <v>7915466318</v>
      </c>
    </row>
    <row r="8" spans="1:10">
      <c r="A8" s="75">
        <v>8456732190</v>
      </c>
      <c r="B8" s="76" t="s">
        <v>412</v>
      </c>
      <c r="C8" s="76" t="s">
        <v>422</v>
      </c>
      <c r="D8" s="75" t="s">
        <v>395</v>
      </c>
      <c r="E8" s="75" t="s">
        <v>738</v>
      </c>
      <c r="F8" s="75" t="s">
        <v>381</v>
      </c>
      <c r="G8" s="75" t="s">
        <v>397</v>
      </c>
      <c r="H8" s="75" t="s">
        <v>396</v>
      </c>
      <c r="I8" s="75">
        <v>9184563287</v>
      </c>
    </row>
    <row r="9" spans="1:10">
      <c r="A9" s="75">
        <v>1604987325</v>
      </c>
      <c r="B9" s="76" t="s">
        <v>413</v>
      </c>
      <c r="C9" s="76" t="s">
        <v>423</v>
      </c>
      <c r="D9" s="75" t="s">
        <v>398</v>
      </c>
      <c r="E9" s="75" t="s">
        <v>738</v>
      </c>
      <c r="F9" s="75" t="s">
        <v>384</v>
      </c>
      <c r="G9" s="75" t="s">
        <v>400</v>
      </c>
      <c r="H9" s="75" t="s">
        <v>399</v>
      </c>
      <c r="I9" s="75">
        <v>5156739421</v>
      </c>
    </row>
    <row r="10" spans="1:10">
      <c r="A10" s="75">
        <v>9543216780</v>
      </c>
      <c r="B10" s="76" t="s">
        <v>414</v>
      </c>
      <c r="C10" s="76" t="s">
        <v>424</v>
      </c>
      <c r="D10" s="75" t="s">
        <v>401</v>
      </c>
      <c r="E10" s="75" t="s">
        <v>738</v>
      </c>
      <c r="F10" s="75" t="s">
        <v>387</v>
      </c>
      <c r="G10" s="75" t="s">
        <v>326</v>
      </c>
      <c r="H10" s="75" t="s">
        <v>402</v>
      </c>
      <c r="I10" s="75">
        <v>9971645832</v>
      </c>
    </row>
    <row r="11" spans="1:10">
      <c r="A11" s="75">
        <v>5076198432</v>
      </c>
      <c r="B11" s="76" t="s">
        <v>415</v>
      </c>
      <c r="C11" s="76" t="s">
        <v>425</v>
      </c>
      <c r="D11" s="75" t="s">
        <v>403</v>
      </c>
      <c r="E11" s="75" t="s">
        <v>738</v>
      </c>
      <c r="F11" s="75" t="s">
        <v>381</v>
      </c>
      <c r="G11" s="75" t="s">
        <v>405</v>
      </c>
      <c r="H11" s="75" t="s">
        <v>404</v>
      </c>
      <c r="I11" s="77">
        <v>6135748912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59966-7F44-4129-9987-23DB4615846C}">
  <sheetPr codeName="Sheet6"/>
  <dimension ref="A1:K14"/>
  <sheetViews>
    <sheetView rightToLeft="1" workbookViewId="0">
      <pane ySplit="1" topLeftCell="A2" activePane="bottomLeft" state="frozen"/>
      <selection pane="bottomLeft" activeCell="H6" sqref="H6"/>
    </sheetView>
  </sheetViews>
  <sheetFormatPr defaultColWidth="12.69921875" defaultRowHeight="18.600000000000001"/>
  <cols>
    <col min="1" max="1" width="10.8984375" style="69" bestFit="1" customWidth="1"/>
    <col min="2" max="2" width="7.296875" style="69" bestFit="1" customWidth="1"/>
    <col min="3" max="3" width="13.19921875" style="69" bestFit="1" customWidth="1"/>
    <col min="4" max="4" width="12.09765625" style="69" bestFit="1" customWidth="1"/>
    <col min="5" max="5" width="15.296875" style="69" bestFit="1" customWidth="1"/>
    <col min="6" max="6" width="23.8984375" style="69" bestFit="1" customWidth="1"/>
    <col min="7" max="7" width="18.796875" style="69" bestFit="1" customWidth="1"/>
    <col min="8" max="8" width="18.09765625" style="69" bestFit="1" customWidth="1"/>
    <col min="9" max="9" width="22.796875" style="69" bestFit="1" customWidth="1"/>
    <col min="10" max="10" width="10.59765625" style="69" bestFit="1" customWidth="1"/>
    <col min="11" max="11" width="42.59765625" style="69" bestFit="1" customWidth="1"/>
    <col min="12" max="16384" width="12.69921875" style="69"/>
  </cols>
  <sheetData>
    <row r="1" spans="1:11">
      <c r="A1" s="69" t="s">
        <v>3</v>
      </c>
      <c r="B1" s="69" t="s">
        <v>1</v>
      </c>
      <c r="C1" s="69" t="s">
        <v>2</v>
      </c>
      <c r="D1" s="69" t="s">
        <v>4</v>
      </c>
      <c r="E1" s="69" t="s">
        <v>13</v>
      </c>
      <c r="F1" s="69" t="s">
        <v>14</v>
      </c>
      <c r="G1" s="69" t="s">
        <v>15</v>
      </c>
      <c r="H1" s="69" t="s">
        <v>16</v>
      </c>
      <c r="I1" s="69" t="s">
        <v>620</v>
      </c>
      <c r="J1" s="69" t="s">
        <v>11</v>
      </c>
      <c r="K1" s="69" t="s">
        <v>12</v>
      </c>
    </row>
    <row r="2" spans="1:11">
      <c r="A2" s="70" t="s">
        <v>716</v>
      </c>
      <c r="B2" s="69" t="s">
        <v>621</v>
      </c>
      <c r="C2" s="69" t="s">
        <v>622</v>
      </c>
      <c r="D2" s="69" t="s">
        <v>623</v>
      </c>
      <c r="E2" s="69" t="s">
        <v>21</v>
      </c>
      <c r="F2" s="69" t="s">
        <v>624</v>
      </c>
      <c r="G2" s="69" t="s">
        <v>340</v>
      </c>
      <c r="H2" s="69" t="s">
        <v>625</v>
      </c>
      <c r="I2" s="69" t="s">
        <v>626</v>
      </c>
      <c r="J2" s="69" t="s">
        <v>17</v>
      </c>
      <c r="K2" s="69" t="s">
        <v>627</v>
      </c>
    </row>
    <row r="3" spans="1:11">
      <c r="A3" s="70" t="s">
        <v>717</v>
      </c>
      <c r="B3" s="69" t="s">
        <v>628</v>
      </c>
      <c r="C3" s="69" t="s">
        <v>629</v>
      </c>
      <c r="D3" s="69" t="s">
        <v>630</v>
      </c>
      <c r="E3" s="69" t="s">
        <v>21</v>
      </c>
      <c r="F3" s="69" t="s">
        <v>624</v>
      </c>
      <c r="G3" s="69" t="s">
        <v>338</v>
      </c>
      <c r="H3" s="69" t="s">
        <v>631</v>
      </c>
      <c r="I3" s="69" t="s">
        <v>632</v>
      </c>
      <c r="J3" s="69" t="s">
        <v>17</v>
      </c>
      <c r="K3" s="69" t="s">
        <v>633</v>
      </c>
    </row>
    <row r="4" spans="1:11">
      <c r="A4" s="70" t="s">
        <v>715</v>
      </c>
      <c r="B4" s="69" t="s">
        <v>634</v>
      </c>
      <c r="C4" s="69" t="s">
        <v>635</v>
      </c>
      <c r="D4" s="69" t="s">
        <v>636</v>
      </c>
      <c r="E4" s="69" t="s">
        <v>21</v>
      </c>
      <c r="F4" s="69" t="s">
        <v>637</v>
      </c>
      <c r="G4" s="69" t="s">
        <v>638</v>
      </c>
      <c r="H4" s="69" t="s">
        <v>639</v>
      </c>
      <c r="I4" s="69" t="s">
        <v>640</v>
      </c>
      <c r="J4" s="69" t="s">
        <v>17</v>
      </c>
      <c r="K4" s="69" t="s">
        <v>641</v>
      </c>
    </row>
    <row r="5" spans="1:11">
      <c r="A5" s="70" t="s">
        <v>718</v>
      </c>
      <c r="B5" s="69" t="s">
        <v>642</v>
      </c>
      <c r="C5" s="69" t="s">
        <v>643</v>
      </c>
      <c r="D5" s="69" t="s">
        <v>644</v>
      </c>
      <c r="E5" s="69" t="s">
        <v>24</v>
      </c>
      <c r="F5" s="69" t="s">
        <v>645</v>
      </c>
      <c r="G5" s="69" t="s">
        <v>646</v>
      </c>
      <c r="H5" s="69" t="s">
        <v>647</v>
      </c>
      <c r="I5" s="69" t="s">
        <v>626</v>
      </c>
      <c r="J5" s="69" t="s">
        <v>17</v>
      </c>
      <c r="K5" s="69" t="s">
        <v>667</v>
      </c>
    </row>
    <row r="6" spans="1:11">
      <c r="A6" s="70" t="s">
        <v>719</v>
      </c>
      <c r="B6" s="69" t="s">
        <v>262</v>
      </c>
      <c r="C6" s="69" t="s">
        <v>648</v>
      </c>
      <c r="D6" s="69" t="s">
        <v>649</v>
      </c>
      <c r="E6" s="69" t="s">
        <v>27</v>
      </c>
      <c r="F6" s="69" t="s">
        <v>650</v>
      </c>
      <c r="G6" s="69" t="s">
        <v>651</v>
      </c>
      <c r="H6" s="69" t="s">
        <v>652</v>
      </c>
      <c r="I6" s="69" t="s">
        <v>653</v>
      </c>
      <c r="J6" s="69" t="s">
        <v>17</v>
      </c>
      <c r="K6" s="69" t="s">
        <v>668</v>
      </c>
    </row>
    <row r="7" spans="1:11">
      <c r="A7" s="70" t="s">
        <v>720</v>
      </c>
      <c r="B7" s="69" t="s">
        <v>654</v>
      </c>
      <c r="C7" s="69" t="s">
        <v>655</v>
      </c>
      <c r="D7" s="69" t="s">
        <v>656</v>
      </c>
      <c r="E7" s="69" t="s">
        <v>657</v>
      </c>
      <c r="F7" s="69" t="s">
        <v>479</v>
      </c>
      <c r="G7" s="69" t="s">
        <v>343</v>
      </c>
      <c r="H7" s="69" t="s">
        <v>658</v>
      </c>
      <c r="I7" s="69" t="s">
        <v>659</v>
      </c>
      <c r="J7" s="69" t="s">
        <v>17</v>
      </c>
      <c r="K7" s="69" t="s">
        <v>660</v>
      </c>
    </row>
    <row r="8" spans="1:11">
      <c r="A8" s="70" t="s">
        <v>721</v>
      </c>
      <c r="B8" s="69" t="s">
        <v>209</v>
      </c>
      <c r="C8" s="69" t="s">
        <v>268</v>
      </c>
      <c r="D8" s="69" t="s">
        <v>661</v>
      </c>
      <c r="E8" s="69" t="s">
        <v>662</v>
      </c>
      <c r="F8" s="69" t="s">
        <v>479</v>
      </c>
      <c r="G8" s="69" t="s">
        <v>663</v>
      </c>
      <c r="H8" s="69" t="s">
        <v>664</v>
      </c>
      <c r="I8" s="69" t="s">
        <v>665</v>
      </c>
      <c r="J8" s="69" t="s">
        <v>17</v>
      </c>
      <c r="K8" s="69" t="s">
        <v>666</v>
      </c>
    </row>
    <row r="9" spans="1:11">
      <c r="A9" s="70" t="s">
        <v>739</v>
      </c>
      <c r="B9" s="69" t="s">
        <v>669</v>
      </c>
      <c r="C9" s="69" t="s">
        <v>670</v>
      </c>
      <c r="D9" s="69" t="s">
        <v>671</v>
      </c>
      <c r="E9" s="69" t="s">
        <v>28</v>
      </c>
      <c r="F9" s="69" t="s">
        <v>479</v>
      </c>
      <c r="G9" s="69" t="s">
        <v>672</v>
      </c>
      <c r="H9" s="69" t="s">
        <v>673</v>
      </c>
      <c r="I9" s="69" t="s">
        <v>674</v>
      </c>
      <c r="J9" s="69" t="s">
        <v>17</v>
      </c>
      <c r="K9" s="69" t="s">
        <v>675</v>
      </c>
    </row>
    <row r="10" spans="1:11">
      <c r="A10" s="70" t="s">
        <v>723</v>
      </c>
      <c r="B10" s="69" t="s">
        <v>676</v>
      </c>
      <c r="C10" s="69" t="s">
        <v>677</v>
      </c>
      <c r="D10" s="69" t="s">
        <v>678</v>
      </c>
      <c r="E10" s="69" t="s">
        <v>679</v>
      </c>
      <c r="F10" s="69" t="s">
        <v>637</v>
      </c>
      <c r="G10" s="69" t="s">
        <v>680</v>
      </c>
      <c r="H10" s="69" t="s">
        <v>681</v>
      </c>
      <c r="I10" s="69" t="s">
        <v>682</v>
      </c>
      <c r="J10" s="69" t="s">
        <v>17</v>
      </c>
      <c r="K10" s="69" t="s">
        <v>683</v>
      </c>
    </row>
    <row r="11" spans="1:11">
      <c r="A11" s="70" t="s">
        <v>724</v>
      </c>
      <c r="B11" s="69" t="s">
        <v>684</v>
      </c>
      <c r="C11" s="69" t="s">
        <v>685</v>
      </c>
      <c r="D11" s="69" t="s">
        <v>686</v>
      </c>
      <c r="E11" s="69" t="s">
        <v>687</v>
      </c>
      <c r="F11" s="69" t="s">
        <v>688</v>
      </c>
      <c r="G11" s="69" t="s">
        <v>689</v>
      </c>
      <c r="H11" s="69" t="s">
        <v>690</v>
      </c>
      <c r="I11" s="69" t="s">
        <v>691</v>
      </c>
      <c r="J11" s="69" t="s">
        <v>17</v>
      </c>
      <c r="K11" s="69" t="s">
        <v>692</v>
      </c>
    </row>
    <row r="12" spans="1:11">
      <c r="A12" s="70" t="s">
        <v>721</v>
      </c>
      <c r="B12" s="69" t="s">
        <v>262</v>
      </c>
      <c r="C12" s="69" t="s">
        <v>693</v>
      </c>
      <c r="D12" s="69" t="s">
        <v>694</v>
      </c>
      <c r="E12" s="69" t="s">
        <v>695</v>
      </c>
      <c r="F12" s="69" t="s">
        <v>696</v>
      </c>
      <c r="G12" s="69" t="s">
        <v>697</v>
      </c>
      <c r="H12" s="69" t="s">
        <v>698</v>
      </c>
      <c r="I12" s="69" t="s">
        <v>699</v>
      </c>
      <c r="J12" s="69" t="s">
        <v>17</v>
      </c>
      <c r="K12" s="69" t="s">
        <v>700</v>
      </c>
    </row>
    <row r="13" spans="1:11">
      <c r="A13" s="70" t="s">
        <v>725</v>
      </c>
      <c r="B13" s="69" t="s">
        <v>654</v>
      </c>
      <c r="C13" s="69" t="s">
        <v>701</v>
      </c>
      <c r="D13" s="69" t="s">
        <v>702</v>
      </c>
      <c r="E13" s="69" t="s">
        <v>703</v>
      </c>
      <c r="F13" s="69" t="s">
        <v>704</v>
      </c>
      <c r="G13" s="69" t="s">
        <v>705</v>
      </c>
      <c r="H13" s="69" t="s">
        <v>706</v>
      </c>
      <c r="I13" s="69" t="s">
        <v>707</v>
      </c>
      <c r="J13" s="69" t="s">
        <v>17</v>
      </c>
      <c r="K13" s="69" t="s">
        <v>708</v>
      </c>
    </row>
    <row r="14" spans="1:11">
      <c r="A14" s="70" t="s">
        <v>722</v>
      </c>
      <c r="B14" s="69" t="s">
        <v>293</v>
      </c>
      <c r="C14" s="69" t="s">
        <v>709</v>
      </c>
      <c r="D14" s="69" t="s">
        <v>710</v>
      </c>
      <c r="E14" s="69" t="s">
        <v>711</v>
      </c>
      <c r="F14" s="69" t="s">
        <v>624</v>
      </c>
      <c r="G14" s="69" t="s">
        <v>361</v>
      </c>
      <c r="H14" s="69" t="s">
        <v>712</v>
      </c>
      <c r="I14" s="69" t="s">
        <v>713</v>
      </c>
      <c r="J14" s="69" t="s">
        <v>17</v>
      </c>
      <c r="K14" s="69" t="s">
        <v>714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9EBB6AB-713D-403A-A08A-FA3CEFE65D66}">
          <x14:formula1>
            <xm:f>Lookup!$C$2:$C$13</xm:f>
          </x14:formula1>
          <xm:sqref>E2:E14</xm:sqref>
        </x14:dataValidation>
        <x14:dataValidation type="list" allowBlank="1" showInputMessage="1" showErrorMessage="1" xr:uid="{B75C76EE-CE56-4705-B91D-F8B5DA68F2FA}">
          <x14:formula1>
            <xm:f>Lookup!$A$2:$A$5</xm:f>
          </x14:formula1>
          <xm:sqref>J2:J14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D008A-0603-4359-A0FA-EC9A51EB5A88}">
  <sheetPr codeName="Sheet7"/>
  <dimension ref="A1:G14"/>
  <sheetViews>
    <sheetView rightToLeft="1" workbookViewId="0">
      <pane ySplit="1" topLeftCell="A2" activePane="bottomLeft" state="frozen"/>
      <selection activeCell="H1" sqref="H1"/>
      <selection pane="bottomLeft" activeCell="H1" sqref="H1"/>
    </sheetView>
  </sheetViews>
  <sheetFormatPr defaultColWidth="8.69921875" defaultRowHeight="15.6"/>
  <cols>
    <col min="1" max="1" width="13.19921875" style="2" customWidth="1"/>
    <col min="2" max="2" width="12.69921875" style="2" bestFit="1" customWidth="1"/>
    <col min="3" max="3" width="8.69921875" style="2"/>
    <col min="4" max="4" width="14.8984375" style="2" bestFit="1" customWidth="1"/>
    <col min="5" max="6" width="8.69921875" style="2"/>
    <col min="7" max="7" width="9.59765625" style="2" customWidth="1"/>
    <col min="8" max="16384" width="8.69921875" style="2"/>
  </cols>
  <sheetData>
    <row r="1" spans="1:7" ht="18.600000000000001">
      <c r="A1" s="69" t="s">
        <v>34</v>
      </c>
      <c r="B1" s="69" t="s">
        <v>35</v>
      </c>
      <c r="C1" s="69" t="s">
        <v>36</v>
      </c>
      <c r="D1" s="69" t="s">
        <v>37</v>
      </c>
      <c r="E1" s="69" t="s">
        <v>38</v>
      </c>
      <c r="F1" s="69" t="s">
        <v>11</v>
      </c>
      <c r="G1" s="69" t="s">
        <v>12</v>
      </c>
    </row>
    <row r="2" spans="1:7" ht="18.600000000000001">
      <c r="A2" s="69" t="s">
        <v>225</v>
      </c>
      <c r="B2" s="69" t="s">
        <v>310</v>
      </c>
      <c r="C2" s="69" t="s">
        <v>322</v>
      </c>
      <c r="D2" s="69" t="s">
        <v>322</v>
      </c>
      <c r="E2" s="69" t="s">
        <v>222</v>
      </c>
      <c r="F2" s="69" t="s">
        <v>17</v>
      </c>
      <c r="G2" s="69"/>
    </row>
    <row r="3" spans="1:7" ht="18.600000000000001">
      <c r="A3" s="69" t="s">
        <v>226</v>
      </c>
      <c r="B3" s="69" t="s">
        <v>311</v>
      </c>
      <c r="C3" s="69" t="s">
        <v>323</v>
      </c>
      <c r="D3" s="69" t="s">
        <v>334</v>
      </c>
      <c r="E3" s="69" t="s">
        <v>222</v>
      </c>
      <c r="F3" s="69" t="s">
        <v>17</v>
      </c>
      <c r="G3" s="69"/>
    </row>
    <row r="4" spans="1:7" ht="18.600000000000001">
      <c r="A4" s="69" t="s">
        <v>227</v>
      </c>
      <c r="B4" s="69" t="s">
        <v>312</v>
      </c>
      <c r="C4" s="69" t="s">
        <v>324</v>
      </c>
      <c r="D4" s="69" t="s">
        <v>335</v>
      </c>
      <c r="E4" s="69" t="s">
        <v>222</v>
      </c>
      <c r="F4" s="69" t="s">
        <v>17</v>
      </c>
      <c r="G4" s="69"/>
    </row>
    <row r="5" spans="1:7" ht="18.600000000000001">
      <c r="A5" s="69" t="s">
        <v>228</v>
      </c>
      <c r="B5" s="69" t="s">
        <v>313</v>
      </c>
      <c r="C5" s="69" t="s">
        <v>325</v>
      </c>
      <c r="D5" s="69" t="s">
        <v>335</v>
      </c>
      <c r="E5" s="69" t="s">
        <v>222</v>
      </c>
      <c r="F5" s="69" t="s">
        <v>17</v>
      </c>
      <c r="G5" s="69"/>
    </row>
    <row r="6" spans="1:7" ht="18.600000000000001">
      <c r="A6" s="69" t="s">
        <v>229</v>
      </c>
      <c r="B6" s="69" t="s">
        <v>314</v>
      </c>
      <c r="C6" s="69" t="s">
        <v>326</v>
      </c>
      <c r="D6" s="69" t="s">
        <v>336</v>
      </c>
      <c r="E6" s="69" t="s">
        <v>222</v>
      </c>
      <c r="F6" s="69" t="s">
        <v>17</v>
      </c>
      <c r="G6" s="69"/>
    </row>
    <row r="7" spans="1:7" ht="18.600000000000001">
      <c r="A7" s="69" t="s">
        <v>230</v>
      </c>
      <c r="B7" s="69" t="s">
        <v>315</v>
      </c>
      <c r="C7" s="69" t="s">
        <v>327</v>
      </c>
      <c r="D7" s="69" t="s">
        <v>327</v>
      </c>
      <c r="E7" s="69" t="s">
        <v>333</v>
      </c>
      <c r="F7" s="69" t="s">
        <v>17</v>
      </c>
      <c r="G7" s="69"/>
    </row>
    <row r="8" spans="1:7" ht="18.600000000000001">
      <c r="A8" s="69" t="s">
        <v>231</v>
      </c>
      <c r="B8" s="69" t="s">
        <v>316</v>
      </c>
      <c r="C8" s="69" t="s">
        <v>328</v>
      </c>
      <c r="D8" s="69" t="s">
        <v>328</v>
      </c>
      <c r="E8" s="69" t="s">
        <v>332</v>
      </c>
      <c r="F8" s="69" t="s">
        <v>17</v>
      </c>
      <c r="G8" s="69"/>
    </row>
    <row r="9" spans="1:7" ht="18.600000000000001">
      <c r="A9" s="69" t="s">
        <v>232</v>
      </c>
      <c r="B9" s="69" t="s">
        <v>317</v>
      </c>
      <c r="C9" s="69" t="s">
        <v>329</v>
      </c>
      <c r="D9" s="69" t="s">
        <v>329</v>
      </c>
      <c r="E9" s="69" t="s">
        <v>331</v>
      </c>
      <c r="F9" s="69" t="s">
        <v>17</v>
      </c>
      <c r="G9" s="69"/>
    </row>
    <row r="10" spans="1:7" ht="18.600000000000001">
      <c r="A10" s="69" t="s">
        <v>233</v>
      </c>
      <c r="B10" s="69" t="s">
        <v>318</v>
      </c>
      <c r="C10" s="69" t="s">
        <v>330</v>
      </c>
      <c r="D10" s="69" t="s">
        <v>330</v>
      </c>
      <c r="E10" s="69" t="s">
        <v>222</v>
      </c>
      <c r="F10" s="69" t="s">
        <v>17</v>
      </c>
      <c r="G10" s="69"/>
    </row>
    <row r="11" spans="1:7" ht="18.600000000000001">
      <c r="A11" s="69" t="s">
        <v>234</v>
      </c>
      <c r="B11" s="69" t="s">
        <v>319</v>
      </c>
      <c r="C11" s="69" t="s">
        <v>325</v>
      </c>
      <c r="D11" s="69" t="s">
        <v>335</v>
      </c>
      <c r="E11" s="69" t="s">
        <v>222</v>
      </c>
      <c r="F11" s="69" t="s">
        <v>17</v>
      </c>
      <c r="G11" s="69"/>
    </row>
    <row r="12" spans="1:7" ht="18.600000000000001">
      <c r="A12" s="69" t="s">
        <v>235</v>
      </c>
      <c r="B12" s="69" t="s">
        <v>320</v>
      </c>
      <c r="C12" s="69" t="s">
        <v>220</v>
      </c>
      <c r="D12" s="69" t="s">
        <v>337</v>
      </c>
      <c r="E12" s="69" t="s">
        <v>222</v>
      </c>
      <c r="F12" s="69" t="s">
        <v>17</v>
      </c>
      <c r="G12" s="69"/>
    </row>
    <row r="13" spans="1:7" ht="18.600000000000001">
      <c r="A13" s="69" t="s">
        <v>236</v>
      </c>
      <c r="B13" s="69" t="s">
        <v>321</v>
      </c>
      <c r="C13" s="69" t="s">
        <v>221</v>
      </c>
      <c r="D13" s="69" t="s">
        <v>221</v>
      </c>
      <c r="E13" s="69" t="s">
        <v>222</v>
      </c>
      <c r="F13" s="69" t="s">
        <v>17</v>
      </c>
      <c r="G13" s="69"/>
    </row>
    <row r="14" spans="1:7" ht="18.600000000000001">
      <c r="A14" s="69" t="s">
        <v>237</v>
      </c>
      <c r="B14" s="69" t="s">
        <v>223</v>
      </c>
      <c r="C14" s="69" t="s">
        <v>224</v>
      </c>
      <c r="D14" s="69" t="s">
        <v>224</v>
      </c>
      <c r="E14" s="69" t="s">
        <v>222</v>
      </c>
      <c r="F14" s="69" t="s">
        <v>17</v>
      </c>
      <c r="G14" s="69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1B1D2-A097-422C-B771-99796540EBF2}">
  <sheetPr codeName="Sheet8"/>
  <dimension ref="A1:H13"/>
  <sheetViews>
    <sheetView rightToLeft="1" zoomScaleNormal="100" workbookViewId="0">
      <pane ySplit="1" topLeftCell="A8" activePane="bottomLeft" state="frozen"/>
      <selection activeCell="H1" sqref="H1"/>
      <selection pane="bottomLeft" activeCell="H1" sqref="H1"/>
    </sheetView>
  </sheetViews>
  <sheetFormatPr defaultColWidth="8.69921875" defaultRowHeight="18.600000000000001"/>
  <cols>
    <col min="1" max="8" width="13.59765625" style="69" customWidth="1"/>
    <col min="9" max="16384" width="8.69921875" style="69"/>
  </cols>
  <sheetData>
    <row r="1" spans="1:8">
      <c r="A1" s="69" t="s">
        <v>39</v>
      </c>
      <c r="B1" s="69" t="s">
        <v>3</v>
      </c>
      <c r="C1" s="69" t="s">
        <v>34</v>
      </c>
      <c r="D1" s="69" t="s">
        <v>42</v>
      </c>
      <c r="E1" s="69" t="s">
        <v>43</v>
      </c>
      <c r="F1" s="69" t="s">
        <v>44</v>
      </c>
      <c r="G1" s="69" t="s">
        <v>45</v>
      </c>
      <c r="H1" s="69" t="s">
        <v>12</v>
      </c>
    </row>
    <row r="2" spans="1:8">
      <c r="A2" s="69" t="s">
        <v>215</v>
      </c>
      <c r="B2" s="69">
        <v>4420987654</v>
      </c>
      <c r="C2" s="69" t="s">
        <v>227</v>
      </c>
      <c r="D2" s="69" t="s">
        <v>338</v>
      </c>
      <c r="F2" s="69">
        <v>1</v>
      </c>
      <c r="G2" s="69" t="s">
        <v>339</v>
      </c>
      <c r="H2" s="69" t="s">
        <v>216</v>
      </c>
    </row>
    <row r="3" spans="1:8">
      <c r="A3" s="69" t="s">
        <v>238</v>
      </c>
      <c r="B3" s="69">
        <v>5031987432</v>
      </c>
      <c r="C3" s="69" t="s">
        <v>225</v>
      </c>
      <c r="D3" s="69" t="s">
        <v>340</v>
      </c>
      <c r="E3" s="69" t="s">
        <v>341</v>
      </c>
      <c r="F3" s="69">
        <v>4</v>
      </c>
      <c r="G3" s="69" t="s">
        <v>342</v>
      </c>
      <c r="H3" s="69" t="s">
        <v>218</v>
      </c>
    </row>
    <row r="4" spans="1:8">
      <c r="A4" s="69" t="s">
        <v>239</v>
      </c>
      <c r="B4" s="69">
        <v>3876543210</v>
      </c>
      <c r="C4" s="69" t="s">
        <v>231</v>
      </c>
      <c r="D4" s="69" t="s">
        <v>343</v>
      </c>
      <c r="E4" s="69" t="s">
        <v>344</v>
      </c>
      <c r="F4" s="69">
        <v>10</v>
      </c>
      <c r="G4" s="69" t="s">
        <v>342</v>
      </c>
      <c r="H4" s="69" t="s">
        <v>432</v>
      </c>
    </row>
    <row r="5" spans="1:8">
      <c r="A5" s="69" t="s">
        <v>240</v>
      </c>
      <c r="B5" s="69">
        <v>6189076543</v>
      </c>
      <c r="C5" s="69" t="s">
        <v>229</v>
      </c>
      <c r="D5" s="69" t="s">
        <v>345</v>
      </c>
      <c r="E5" s="69" t="s">
        <v>346</v>
      </c>
      <c r="F5" s="69">
        <v>9</v>
      </c>
      <c r="G5" s="69" t="s">
        <v>339</v>
      </c>
    </row>
    <row r="6" spans="1:8">
      <c r="A6" s="69" t="s">
        <v>347</v>
      </c>
      <c r="B6" s="69">
        <v>2954321876</v>
      </c>
      <c r="C6" s="69" t="s">
        <v>233</v>
      </c>
      <c r="D6" s="69" t="s">
        <v>348</v>
      </c>
      <c r="E6" s="69" t="s">
        <v>349</v>
      </c>
      <c r="F6" s="69">
        <v>7</v>
      </c>
      <c r="G6" s="69" t="s">
        <v>342</v>
      </c>
    </row>
    <row r="7" spans="1:8">
      <c r="A7" s="69" t="s">
        <v>350</v>
      </c>
      <c r="B7" s="69">
        <v>7321890543</v>
      </c>
      <c r="C7" s="69" t="s">
        <v>225</v>
      </c>
      <c r="D7" s="69" t="s">
        <v>351</v>
      </c>
      <c r="E7" s="69" t="s">
        <v>352</v>
      </c>
      <c r="F7" s="69">
        <v>2</v>
      </c>
      <c r="G7" s="69" t="s">
        <v>342</v>
      </c>
    </row>
    <row r="8" spans="1:8">
      <c r="A8" s="69" t="s">
        <v>353</v>
      </c>
      <c r="B8" s="69">
        <v>8456732190</v>
      </c>
      <c r="C8" s="69" t="s">
        <v>227</v>
      </c>
      <c r="D8" s="69" t="s">
        <v>354</v>
      </c>
      <c r="E8" s="69" t="s">
        <v>355</v>
      </c>
      <c r="F8" s="69">
        <v>6</v>
      </c>
      <c r="G8" s="69" t="s">
        <v>339</v>
      </c>
    </row>
    <row r="9" spans="1:8">
      <c r="A9" s="69" t="s">
        <v>356</v>
      </c>
      <c r="B9" s="69">
        <v>1604987325</v>
      </c>
      <c r="C9" s="69" t="s">
        <v>235</v>
      </c>
      <c r="D9" s="69" t="s">
        <v>357</v>
      </c>
      <c r="F9" s="69">
        <v>11</v>
      </c>
      <c r="G9" s="69" t="s">
        <v>342</v>
      </c>
    </row>
    <row r="10" spans="1:8">
      <c r="A10" s="69" t="s">
        <v>358</v>
      </c>
      <c r="B10" s="69">
        <v>9543216780</v>
      </c>
      <c r="C10" s="69" t="s">
        <v>231</v>
      </c>
      <c r="D10" s="69" t="s">
        <v>359</v>
      </c>
      <c r="F10" s="69">
        <v>8</v>
      </c>
      <c r="G10" s="69" t="s">
        <v>342</v>
      </c>
    </row>
    <row r="11" spans="1:8">
      <c r="A11" s="69" t="s">
        <v>360</v>
      </c>
      <c r="B11" s="69">
        <v>5076198432</v>
      </c>
      <c r="C11" s="69" t="s">
        <v>229</v>
      </c>
      <c r="D11" s="69" t="s">
        <v>361</v>
      </c>
      <c r="F11" s="69">
        <v>12</v>
      </c>
      <c r="G11" s="69" t="s">
        <v>342</v>
      </c>
    </row>
    <row r="12" spans="1:8">
      <c r="A12" s="69" t="s">
        <v>362</v>
      </c>
      <c r="B12" s="69">
        <v>7321890543</v>
      </c>
      <c r="C12" s="69" t="s">
        <v>229</v>
      </c>
      <c r="D12" s="69" t="s">
        <v>364</v>
      </c>
      <c r="F12" s="69">
        <v>2</v>
      </c>
      <c r="G12" s="69" t="s">
        <v>342</v>
      </c>
    </row>
    <row r="13" spans="1:8">
      <c r="A13" s="69" t="s">
        <v>363</v>
      </c>
      <c r="B13" s="69">
        <v>3876543210</v>
      </c>
      <c r="C13" s="69" t="s">
        <v>228</v>
      </c>
      <c r="D13" s="69" t="s">
        <v>219</v>
      </c>
      <c r="F13" s="69">
        <v>5</v>
      </c>
      <c r="G13" s="69" t="s">
        <v>342</v>
      </c>
      <c r="H13" s="69" t="s">
        <v>432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EF20D-46E4-4B7C-9893-DB5557EFC38D}">
  <sheetPr codeName="Sheet9"/>
  <dimension ref="A1:N5"/>
  <sheetViews>
    <sheetView rightToLeft="1" topLeftCell="L1" workbookViewId="0">
      <pane ySplit="1" topLeftCell="A2" activePane="bottomLeft" state="frozen"/>
      <selection pane="bottomLeft" activeCell="N2" sqref="N2"/>
    </sheetView>
  </sheetViews>
  <sheetFormatPr defaultColWidth="8.69921875" defaultRowHeight="18.600000000000001"/>
  <cols>
    <col min="1" max="1" width="11.5" style="69" bestFit="1" customWidth="1"/>
    <col min="2" max="2" width="27.09765625" style="69" bestFit="1" customWidth="1"/>
    <col min="3" max="3" width="10.5" style="69" bestFit="1" customWidth="1"/>
    <col min="4" max="4" width="12.8984375" style="69" bestFit="1" customWidth="1"/>
    <col min="5" max="5" width="12.19921875" style="69" bestFit="1" customWidth="1"/>
    <col min="6" max="6" width="8" style="69" bestFit="1" customWidth="1"/>
    <col min="7" max="7" width="9.09765625" style="69" bestFit="1" customWidth="1"/>
    <col min="8" max="8" width="29.3984375" style="69" bestFit="1" customWidth="1"/>
    <col min="9" max="9" width="15.69921875" style="69" bestFit="1" customWidth="1"/>
    <col min="10" max="10" width="35.8984375" style="69" bestFit="1" customWidth="1"/>
    <col min="11" max="11" width="20.19921875" style="69" bestFit="1" customWidth="1"/>
    <col min="12" max="12" width="23.69921875" style="69" bestFit="1" customWidth="1"/>
    <col min="13" max="13" width="45.796875" style="69" bestFit="1" customWidth="1"/>
    <col min="14" max="14" width="67.3984375" style="69" bestFit="1" customWidth="1"/>
    <col min="15" max="16384" width="8.69921875" style="69"/>
  </cols>
  <sheetData>
    <row r="1" spans="1:14">
      <c r="A1" s="69" t="s">
        <v>47</v>
      </c>
      <c r="B1" s="69" t="s">
        <v>48</v>
      </c>
      <c r="C1" s="69" t="s">
        <v>49</v>
      </c>
      <c r="D1" s="69" t="s">
        <v>42</v>
      </c>
      <c r="E1" s="69" t="s">
        <v>43</v>
      </c>
      <c r="F1" s="69" t="s">
        <v>36</v>
      </c>
      <c r="G1" s="69" t="s">
        <v>38</v>
      </c>
      <c r="H1" s="69" t="s">
        <v>50</v>
      </c>
      <c r="I1" s="69" t="s">
        <v>21</v>
      </c>
      <c r="J1" s="69" t="s">
        <v>56</v>
      </c>
      <c r="K1" s="69" t="s">
        <v>57</v>
      </c>
      <c r="L1" s="69" t="s">
        <v>58</v>
      </c>
      <c r="M1" s="69" t="s">
        <v>12</v>
      </c>
      <c r="N1" s="69" t="s">
        <v>59</v>
      </c>
    </row>
    <row r="2" spans="1:14">
      <c r="A2" s="69" t="s">
        <v>474</v>
      </c>
      <c r="B2" s="69" t="s">
        <v>515</v>
      </c>
      <c r="C2" s="69" t="s">
        <v>193</v>
      </c>
      <c r="D2" s="69" t="s">
        <v>477</v>
      </c>
      <c r="E2" s="69" t="s">
        <v>478</v>
      </c>
      <c r="F2" s="69" t="s">
        <v>324</v>
      </c>
      <c r="G2" s="69" t="s">
        <v>222</v>
      </c>
      <c r="H2" s="69" t="s">
        <v>516</v>
      </c>
      <c r="I2" s="69">
        <v>2983476510</v>
      </c>
      <c r="J2" s="69" t="s">
        <v>517</v>
      </c>
      <c r="K2" s="69">
        <v>5678901534</v>
      </c>
      <c r="M2" s="69" t="s">
        <v>518</v>
      </c>
      <c r="N2" s="69" t="s">
        <v>519</v>
      </c>
    </row>
    <row r="3" spans="1:14">
      <c r="A3" s="69" t="s">
        <v>490</v>
      </c>
      <c r="B3" s="69" t="s">
        <v>520</v>
      </c>
      <c r="C3" s="69" t="s">
        <v>194</v>
      </c>
      <c r="D3" s="69" t="s">
        <v>492</v>
      </c>
      <c r="E3" s="69" t="s">
        <v>493</v>
      </c>
      <c r="F3" s="69" t="s">
        <v>327</v>
      </c>
      <c r="G3" s="69" t="s">
        <v>333</v>
      </c>
      <c r="H3" s="69" t="s">
        <v>521</v>
      </c>
      <c r="I3" s="69">
        <v>5123876498</v>
      </c>
      <c r="J3" s="69" t="s">
        <v>195</v>
      </c>
      <c r="K3" s="69">
        <v>5678901534</v>
      </c>
      <c r="M3" s="69" t="s">
        <v>522</v>
      </c>
      <c r="N3" s="69" t="s">
        <v>523</v>
      </c>
    </row>
    <row r="4" spans="1:14">
      <c r="A4" s="69" t="s">
        <v>503</v>
      </c>
      <c r="B4" s="69" t="s">
        <v>524</v>
      </c>
      <c r="C4" s="69" t="s">
        <v>193</v>
      </c>
      <c r="D4" s="69" t="s">
        <v>505</v>
      </c>
      <c r="E4" s="69" t="s">
        <v>506</v>
      </c>
      <c r="F4" s="69" t="s">
        <v>322</v>
      </c>
      <c r="G4" s="69" t="s">
        <v>222</v>
      </c>
      <c r="H4" s="69" t="s">
        <v>525</v>
      </c>
      <c r="I4" s="69" t="s">
        <v>715</v>
      </c>
      <c r="J4" s="69" t="s">
        <v>602</v>
      </c>
      <c r="K4" s="69">
        <v>5678901534</v>
      </c>
      <c r="M4" s="69" t="s">
        <v>526</v>
      </c>
      <c r="N4" s="69" t="s">
        <v>527</v>
      </c>
    </row>
    <row r="5" spans="1:14">
      <c r="A5" s="69" t="s">
        <v>528</v>
      </c>
      <c r="B5" s="69" t="s">
        <v>529</v>
      </c>
      <c r="C5" s="69" t="s">
        <v>193</v>
      </c>
      <c r="D5" s="69" t="s">
        <v>530</v>
      </c>
      <c r="E5" s="69" t="s">
        <v>531</v>
      </c>
      <c r="F5" s="69" t="s">
        <v>323</v>
      </c>
      <c r="G5" s="69" t="s">
        <v>222</v>
      </c>
      <c r="H5" s="69" t="s">
        <v>532</v>
      </c>
      <c r="I5" s="69" t="s">
        <v>718</v>
      </c>
      <c r="J5" s="69" t="s">
        <v>533</v>
      </c>
      <c r="K5" s="69">
        <v>5678901534</v>
      </c>
      <c r="M5" s="69" t="s">
        <v>534</v>
      </c>
      <c r="N5" s="69" t="s">
        <v>535</v>
      </c>
    </row>
  </sheetData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D37AD2-87DB-423A-A46B-5190361D03C2}">
          <x14:formula1>
            <xm:f>Lookup!$K$2:$K$3</xm:f>
          </x14:formula1>
          <xm:sqref>C2:C5</xm:sqref>
        </x14:dataValidation>
        <x14:dataValidation type="list" allowBlank="1" showInputMessage="1" showErrorMessage="1" xr:uid="{E4AFFF15-F9DE-4E77-BA4B-2FF32CEFE507}">
          <x14:formula1>
            <xm:f>Lookup!$N$11:$N$17</xm:f>
          </x14:formula1>
          <xm:sqref>J2:J5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F5EF5-CD10-4C96-9FA2-1993D27F840C}">
  <sheetPr codeName="Sheet10"/>
  <dimension ref="A1:J17"/>
  <sheetViews>
    <sheetView rightToLeft="1" zoomScaleNormal="100" workbookViewId="0">
      <pane ySplit="1" topLeftCell="A9" activePane="bottomLeft" state="frozen"/>
      <selection pane="bottomLeft" activeCell="D12" sqref="A1:J17"/>
    </sheetView>
  </sheetViews>
  <sheetFormatPr defaultColWidth="8.69921875" defaultRowHeight="15.6"/>
  <cols>
    <col min="1" max="1" width="10.19921875" style="2" customWidth="1"/>
    <col min="2" max="2" width="11" style="2" customWidth="1"/>
    <col min="3" max="3" width="11.296875" style="2" bestFit="1" customWidth="1"/>
    <col min="4" max="5" width="13.19921875" style="2" customWidth="1"/>
    <col min="6" max="6" width="13.3984375" style="2" customWidth="1"/>
    <col min="7" max="7" width="10.19921875" style="2" customWidth="1"/>
    <col min="8" max="8" width="10.69921875" style="2" customWidth="1"/>
    <col min="9" max="9" width="22" style="2" bestFit="1" customWidth="1"/>
    <col min="10" max="10" width="21.5" style="2" customWidth="1"/>
    <col min="11" max="16384" width="8.69921875" style="2"/>
  </cols>
  <sheetData>
    <row r="1" spans="1:10" ht="18.600000000000001">
      <c r="A1" s="69" t="s">
        <v>39</v>
      </c>
      <c r="B1" s="69" t="s">
        <v>47</v>
      </c>
      <c r="C1" s="69" t="s">
        <v>3</v>
      </c>
      <c r="D1" s="69" t="s">
        <v>51</v>
      </c>
      <c r="E1" s="69" t="s">
        <v>472</v>
      </c>
      <c r="F1" s="69" t="s">
        <v>52</v>
      </c>
      <c r="G1" s="69" t="s">
        <v>53</v>
      </c>
      <c r="H1" s="69" t="s">
        <v>54</v>
      </c>
      <c r="I1" s="69" t="s">
        <v>55</v>
      </c>
      <c r="J1" s="69" t="s">
        <v>12</v>
      </c>
    </row>
    <row r="2" spans="1:10" ht="18.600000000000001">
      <c r="A2" s="69" t="s">
        <v>473</v>
      </c>
      <c r="B2" s="69" t="s">
        <v>474</v>
      </c>
      <c r="C2" s="71">
        <v>4420987654</v>
      </c>
      <c r="D2" s="69" t="s">
        <v>541</v>
      </c>
      <c r="E2" s="69" t="s">
        <v>475</v>
      </c>
      <c r="F2" s="69" t="s">
        <v>476</v>
      </c>
      <c r="G2" s="69" t="s">
        <v>477</v>
      </c>
      <c r="H2" s="69" t="s">
        <v>478</v>
      </c>
      <c r="I2" s="69" t="s">
        <v>479</v>
      </c>
      <c r="J2" s="69"/>
    </row>
    <row r="3" spans="1:10" ht="18.600000000000001">
      <c r="A3" s="69" t="s">
        <v>480</v>
      </c>
      <c r="B3" s="69" t="s">
        <v>474</v>
      </c>
      <c r="C3" s="71">
        <v>5031987432</v>
      </c>
      <c r="D3" s="69" t="s">
        <v>541</v>
      </c>
      <c r="E3" s="69" t="s">
        <v>475</v>
      </c>
      <c r="F3" s="69" t="s">
        <v>476</v>
      </c>
      <c r="G3" s="69" t="s">
        <v>477</v>
      </c>
      <c r="H3" s="69" t="s">
        <v>481</v>
      </c>
      <c r="I3" s="69" t="s">
        <v>479</v>
      </c>
      <c r="J3" s="69"/>
    </row>
    <row r="4" spans="1:10" ht="18.600000000000001">
      <c r="A4" s="69" t="s">
        <v>482</v>
      </c>
      <c r="B4" s="69" t="s">
        <v>474</v>
      </c>
      <c r="C4" s="71">
        <v>3876543210</v>
      </c>
      <c r="D4" s="69" t="s">
        <v>542</v>
      </c>
      <c r="E4" s="69" t="s">
        <v>483</v>
      </c>
      <c r="F4" s="69" t="s">
        <v>546</v>
      </c>
      <c r="G4" s="69" t="s">
        <v>479</v>
      </c>
      <c r="H4" s="69" t="s">
        <v>479</v>
      </c>
      <c r="I4" s="69" t="s">
        <v>485</v>
      </c>
      <c r="J4" s="69"/>
    </row>
    <row r="5" spans="1:10" ht="18.600000000000001">
      <c r="A5" s="69" t="s">
        <v>486</v>
      </c>
      <c r="B5" s="69" t="s">
        <v>474</v>
      </c>
      <c r="C5" s="71">
        <v>6189076543</v>
      </c>
      <c r="D5" s="69" t="s">
        <v>541</v>
      </c>
      <c r="E5" s="69" t="s">
        <v>475</v>
      </c>
      <c r="F5" s="69" t="s">
        <v>476</v>
      </c>
      <c r="G5" s="69" t="s">
        <v>477</v>
      </c>
      <c r="H5" s="69" t="s">
        <v>478</v>
      </c>
      <c r="I5" s="69" t="s">
        <v>479</v>
      </c>
      <c r="J5" s="69"/>
    </row>
    <row r="6" spans="1:10" ht="18.600000000000001">
      <c r="A6" s="69" t="s">
        <v>487</v>
      </c>
      <c r="B6" s="69" t="s">
        <v>474</v>
      </c>
      <c r="C6" s="71">
        <v>2954321876</v>
      </c>
      <c r="D6" s="69" t="s">
        <v>544</v>
      </c>
      <c r="E6" s="69" t="s">
        <v>483</v>
      </c>
      <c r="F6" s="69" t="s">
        <v>544</v>
      </c>
      <c r="G6" s="69" t="s">
        <v>479</v>
      </c>
      <c r="H6" s="69" t="s">
        <v>479</v>
      </c>
      <c r="I6" s="69" t="s">
        <v>488</v>
      </c>
      <c r="J6" s="69"/>
    </row>
    <row r="7" spans="1:10" ht="18.600000000000001">
      <c r="A7" s="69" t="s">
        <v>489</v>
      </c>
      <c r="B7" s="69" t="s">
        <v>490</v>
      </c>
      <c r="C7" s="71">
        <v>7321890543</v>
      </c>
      <c r="D7" s="69" t="s">
        <v>541</v>
      </c>
      <c r="E7" s="69" t="s">
        <v>491</v>
      </c>
      <c r="F7" s="69" t="s">
        <v>546</v>
      </c>
      <c r="G7" s="69" t="s">
        <v>492</v>
      </c>
      <c r="H7" s="69" t="s">
        <v>493</v>
      </c>
      <c r="I7" s="69" t="s">
        <v>479</v>
      </c>
      <c r="J7" s="69"/>
    </row>
    <row r="8" spans="1:10" ht="18.600000000000001">
      <c r="A8" s="69" t="s">
        <v>494</v>
      </c>
      <c r="B8" s="69" t="s">
        <v>490</v>
      </c>
      <c r="C8" s="71">
        <v>8456732190</v>
      </c>
      <c r="D8" s="69" t="s">
        <v>541</v>
      </c>
      <c r="E8" s="69" t="s">
        <v>491</v>
      </c>
      <c r="F8" s="69" t="s">
        <v>548</v>
      </c>
      <c r="G8" s="69" t="s">
        <v>495</v>
      </c>
      <c r="H8" s="69" t="s">
        <v>493</v>
      </c>
      <c r="I8" s="69" t="s">
        <v>479</v>
      </c>
      <c r="J8" s="69"/>
    </row>
    <row r="9" spans="1:10" ht="18.600000000000001">
      <c r="A9" s="69" t="s">
        <v>496</v>
      </c>
      <c r="B9" s="69" t="s">
        <v>490</v>
      </c>
      <c r="C9" s="71">
        <v>1604987325</v>
      </c>
      <c r="D9" s="69" t="s">
        <v>541</v>
      </c>
      <c r="E9" s="69" t="s">
        <v>497</v>
      </c>
      <c r="F9" s="69" t="s">
        <v>546</v>
      </c>
      <c r="G9" s="69" t="s">
        <v>479</v>
      </c>
      <c r="H9" s="69" t="s">
        <v>479</v>
      </c>
      <c r="I9" s="69" t="s">
        <v>498</v>
      </c>
      <c r="J9" s="69"/>
    </row>
    <row r="10" spans="1:10" ht="18.600000000000001">
      <c r="A10" s="69" t="s">
        <v>499</v>
      </c>
      <c r="B10" s="69" t="s">
        <v>490</v>
      </c>
      <c r="C10" s="71">
        <v>9543216780</v>
      </c>
      <c r="D10" s="69" t="s">
        <v>541</v>
      </c>
      <c r="E10" s="69" t="s">
        <v>491</v>
      </c>
      <c r="F10" s="69" t="s">
        <v>476</v>
      </c>
      <c r="G10" s="69" t="s">
        <v>492</v>
      </c>
      <c r="H10" s="69" t="s">
        <v>500</v>
      </c>
      <c r="I10" s="69" t="s">
        <v>479</v>
      </c>
      <c r="J10" s="69"/>
    </row>
    <row r="11" spans="1:10" ht="18.600000000000001">
      <c r="A11" s="69" t="s">
        <v>501</v>
      </c>
      <c r="B11" s="69" t="s">
        <v>490</v>
      </c>
      <c r="C11" s="71">
        <v>5076198432</v>
      </c>
      <c r="D11" s="69" t="s">
        <v>541</v>
      </c>
      <c r="E11" s="69" t="s">
        <v>491</v>
      </c>
      <c r="F11" s="69" t="s">
        <v>476</v>
      </c>
      <c r="G11" s="69" t="s">
        <v>492</v>
      </c>
      <c r="H11" s="69" t="s">
        <v>493</v>
      </c>
      <c r="I11" s="69" t="s">
        <v>479</v>
      </c>
      <c r="J11" s="69"/>
    </row>
    <row r="12" spans="1:10" ht="18.600000000000001">
      <c r="A12" s="69" t="s">
        <v>502</v>
      </c>
      <c r="B12" s="69" t="s">
        <v>503</v>
      </c>
      <c r="C12" s="71">
        <v>4420987654</v>
      </c>
      <c r="D12" s="69" t="s">
        <v>541</v>
      </c>
      <c r="E12" s="69" t="s">
        <v>504</v>
      </c>
      <c r="F12" s="69" t="s">
        <v>547</v>
      </c>
      <c r="G12" s="69" t="s">
        <v>505</v>
      </c>
      <c r="H12" s="69" t="s">
        <v>506</v>
      </c>
      <c r="I12" s="69" t="s">
        <v>479</v>
      </c>
      <c r="J12" s="69"/>
    </row>
    <row r="13" spans="1:10" ht="18.600000000000001">
      <c r="A13" s="69" t="s">
        <v>507</v>
      </c>
      <c r="B13" s="69" t="s">
        <v>503</v>
      </c>
      <c r="C13" s="71">
        <v>3876543210</v>
      </c>
      <c r="D13" s="69" t="s">
        <v>545</v>
      </c>
      <c r="E13" s="69" t="s">
        <v>504</v>
      </c>
      <c r="F13" s="69" t="s">
        <v>476</v>
      </c>
      <c r="G13" s="69" t="s">
        <v>505</v>
      </c>
      <c r="H13" s="69" t="s">
        <v>508</v>
      </c>
      <c r="I13" s="69" t="s">
        <v>479</v>
      </c>
      <c r="J13" s="69"/>
    </row>
    <row r="14" spans="1:10" ht="18.600000000000001">
      <c r="A14" s="69" t="s">
        <v>509</v>
      </c>
      <c r="B14" s="69" t="s">
        <v>503</v>
      </c>
      <c r="C14" s="71">
        <v>6189076543</v>
      </c>
      <c r="D14" s="69" t="s">
        <v>542</v>
      </c>
      <c r="E14" s="69" t="s">
        <v>510</v>
      </c>
      <c r="F14" s="69" t="s">
        <v>546</v>
      </c>
      <c r="G14" s="69" t="s">
        <v>479</v>
      </c>
      <c r="H14" s="69" t="s">
        <v>479</v>
      </c>
      <c r="I14" s="69" t="s">
        <v>511</v>
      </c>
      <c r="J14" s="69"/>
    </row>
    <row r="15" spans="1:10" ht="18.600000000000001">
      <c r="A15" s="69" t="s">
        <v>512</v>
      </c>
      <c r="B15" s="69" t="s">
        <v>503</v>
      </c>
      <c r="C15" s="71">
        <v>2954321876</v>
      </c>
      <c r="D15" s="69" t="s">
        <v>541</v>
      </c>
      <c r="E15" s="69" t="s">
        <v>504</v>
      </c>
      <c r="F15" s="69" t="s">
        <v>476</v>
      </c>
      <c r="G15" s="69" t="s">
        <v>505</v>
      </c>
      <c r="H15" s="69" t="s">
        <v>506</v>
      </c>
      <c r="I15" s="69" t="s">
        <v>479</v>
      </c>
      <c r="J15" s="69"/>
    </row>
    <row r="16" spans="1:10" ht="18.600000000000001">
      <c r="A16" s="69" t="s">
        <v>513</v>
      </c>
      <c r="B16" s="69" t="s">
        <v>503</v>
      </c>
      <c r="C16" s="71">
        <v>8456732190</v>
      </c>
      <c r="D16" s="69" t="s">
        <v>544</v>
      </c>
      <c r="E16" s="69" t="s">
        <v>510</v>
      </c>
      <c r="F16" s="69" t="s">
        <v>544</v>
      </c>
      <c r="G16" s="69" t="s">
        <v>479</v>
      </c>
      <c r="H16" s="69" t="s">
        <v>479</v>
      </c>
      <c r="I16" s="69" t="s">
        <v>514</v>
      </c>
      <c r="J16" s="69"/>
    </row>
    <row r="17" spans="1:10" ht="18.600000000000001">
      <c r="A17" s="69" t="s">
        <v>550</v>
      </c>
      <c r="B17" s="69" t="s">
        <v>490</v>
      </c>
      <c r="C17" s="71">
        <v>6189076543</v>
      </c>
      <c r="D17" s="69" t="s">
        <v>541</v>
      </c>
      <c r="E17" s="72" t="s">
        <v>429</v>
      </c>
      <c r="F17" s="69" t="s">
        <v>546</v>
      </c>
      <c r="G17" s="69" t="s">
        <v>591</v>
      </c>
      <c r="H17" s="69" t="s">
        <v>592</v>
      </c>
      <c r="I17" s="69" t="s">
        <v>593</v>
      </c>
      <c r="J17" s="69" t="s">
        <v>594</v>
      </c>
    </row>
  </sheetData>
  <dataValidations count="2">
    <dataValidation type="list" allowBlank="1" showInputMessage="1" showErrorMessage="1" sqref="F2:F17" xr:uid="{8128B30B-866E-4A5A-8F9F-1DA8FEF62904}">
      <formula1>PresenceStat</formula1>
    </dataValidation>
    <dataValidation type="list" allowBlank="1" showInputMessage="1" showErrorMessage="1" sqref="D2:D17" xr:uid="{0EE12949-8C80-43F5-8F2E-C69B0CE6AE96}">
      <formula1>InviteStat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F3339-293C-40F1-9DBB-CCBDA088AC51}">
  <sheetPr codeName="Sheet11"/>
  <dimension ref="A1:O1"/>
  <sheetViews>
    <sheetView rightToLeft="1" workbookViewId="0">
      <pane ySplit="1" topLeftCell="A2" activePane="bottomLeft" state="frozen"/>
      <selection activeCell="H1" sqref="H1"/>
      <selection pane="bottomLeft" activeCell="H1" sqref="H1"/>
    </sheetView>
  </sheetViews>
  <sheetFormatPr defaultColWidth="8.69921875" defaultRowHeight="15.6"/>
  <cols>
    <col min="1" max="1" width="10.69921875" style="2" bestFit="1" customWidth="1"/>
    <col min="2" max="2" width="11.69921875" style="2" customWidth="1"/>
    <col min="3" max="3" width="6.8984375" style="2" customWidth="1"/>
    <col min="4" max="4" width="8.3984375" style="2" customWidth="1"/>
    <col min="5" max="5" width="27.5" style="2" bestFit="1" customWidth="1"/>
    <col min="6" max="6" width="5.69921875" style="2" customWidth="1"/>
    <col min="7" max="7" width="6.69921875" style="2" customWidth="1"/>
    <col min="8" max="8" width="8.09765625" style="2" customWidth="1"/>
    <col min="9" max="9" width="13.69921875" style="2" bestFit="1" customWidth="1"/>
    <col min="10" max="10" width="8.09765625" style="2" customWidth="1"/>
    <col min="11" max="11" width="9.3984375" style="2" customWidth="1"/>
    <col min="12" max="12" width="10.5" style="2" customWidth="1"/>
    <col min="13" max="13" width="7.09765625" style="2" bestFit="1" customWidth="1"/>
    <col min="14" max="14" width="7.3984375" style="2" customWidth="1"/>
    <col min="15" max="15" width="9.59765625" style="2" customWidth="1"/>
    <col min="16" max="16384" width="8.69921875" style="2"/>
  </cols>
  <sheetData>
    <row r="1" spans="1:15">
      <c r="A1" s="2" t="s">
        <v>60</v>
      </c>
      <c r="B1" s="2" t="s">
        <v>62</v>
      </c>
      <c r="C1" s="2" t="s">
        <v>63</v>
      </c>
      <c r="D1" s="2" t="s">
        <v>64</v>
      </c>
      <c r="E1" s="2" t="s">
        <v>65</v>
      </c>
      <c r="F1" s="2" t="s">
        <v>36</v>
      </c>
      <c r="G1" s="2" t="s">
        <v>38</v>
      </c>
      <c r="H1" s="2" t="s">
        <v>66</v>
      </c>
      <c r="I1" s="2" t="s">
        <v>67</v>
      </c>
      <c r="J1" s="2" t="s">
        <v>68</v>
      </c>
      <c r="K1" s="2" t="s">
        <v>69</v>
      </c>
      <c r="L1" s="2" t="s">
        <v>70</v>
      </c>
      <c r="M1" s="2" t="s">
        <v>71</v>
      </c>
      <c r="N1" s="2" t="s">
        <v>21</v>
      </c>
      <c r="O1" s="2" t="s">
        <v>12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372818C-3DDA-43BA-9940-D82C228193A5}">
          <x14:formula1>
            <xm:f>Lookup!$I$2:$I$4</xm:f>
          </x14:formula1>
          <xm:sqref>I2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82D0B-A4B0-4AB3-AA84-4A2A4E1125E9}">
  <sheetPr codeName="Sheet12"/>
  <dimension ref="A1:AA2"/>
  <sheetViews>
    <sheetView rightToLeft="1" topLeftCell="J1" workbookViewId="0">
      <pane ySplit="1" topLeftCell="A2" activePane="bottomLeft" state="frozen"/>
      <selection activeCell="H1" sqref="H1"/>
      <selection pane="bottomLeft" activeCell="H1" sqref="H1"/>
    </sheetView>
  </sheetViews>
  <sheetFormatPr defaultColWidth="8.69921875" defaultRowHeight="15.6"/>
  <cols>
    <col min="1" max="1" width="10.19921875" style="2" customWidth="1"/>
    <col min="2" max="2" width="9.69921875" style="2" customWidth="1"/>
    <col min="3" max="3" width="9.59765625" style="2" customWidth="1"/>
    <col min="4" max="4" width="11.5" style="2" customWidth="1"/>
    <col min="5" max="5" width="9.69921875" style="2" customWidth="1"/>
    <col min="6" max="6" width="11" style="2" customWidth="1"/>
    <col min="7" max="7" width="10.3984375" style="2" customWidth="1"/>
    <col min="8" max="8" width="11.09765625" style="2" customWidth="1"/>
    <col min="9" max="9" width="9.8984375" style="2" customWidth="1"/>
    <col min="10" max="12" width="8.69921875" style="2"/>
    <col min="13" max="13" width="15.19921875" style="2" customWidth="1"/>
    <col min="14" max="14" width="9" style="2" customWidth="1"/>
    <col min="15" max="21" width="9.09765625" style="2" customWidth="1"/>
    <col min="22" max="22" width="8.69921875" style="2"/>
    <col min="23" max="23" width="8.8984375" style="2" customWidth="1"/>
    <col min="24" max="24" width="9.59765625" style="2" customWidth="1"/>
    <col min="25" max="25" width="9" style="2" customWidth="1"/>
    <col min="26" max="26" width="11.69921875" style="2" customWidth="1"/>
    <col min="27" max="27" width="9.59765625" style="2" customWidth="1"/>
    <col min="28" max="16384" width="8.69921875" style="2"/>
  </cols>
  <sheetData>
    <row r="1" spans="1:27" s="4" customFormat="1" ht="49.2" customHeight="1">
      <c r="A1" s="4" t="s">
        <v>39</v>
      </c>
      <c r="B1" s="4" t="s">
        <v>60</v>
      </c>
      <c r="C1" s="4" t="s">
        <v>0</v>
      </c>
      <c r="D1" s="4" t="s">
        <v>44</v>
      </c>
      <c r="E1" s="4" t="s">
        <v>72</v>
      </c>
      <c r="F1" s="4" t="s">
        <v>73</v>
      </c>
      <c r="G1" s="4" t="s">
        <v>74</v>
      </c>
      <c r="H1" s="4" t="s">
        <v>75</v>
      </c>
      <c r="I1" s="4" t="s">
        <v>76</v>
      </c>
      <c r="J1" s="4" t="s">
        <v>77</v>
      </c>
      <c r="K1" s="4" t="s">
        <v>78</v>
      </c>
      <c r="L1" s="4" t="s">
        <v>79</v>
      </c>
      <c r="M1" s="4" t="s">
        <v>80</v>
      </c>
      <c r="N1" s="4" t="s">
        <v>81</v>
      </c>
      <c r="O1" s="4" t="s">
        <v>82</v>
      </c>
      <c r="P1" s="4" t="s">
        <v>88</v>
      </c>
      <c r="Q1" s="4" t="s">
        <v>89</v>
      </c>
      <c r="R1" s="4" t="s">
        <v>90</v>
      </c>
      <c r="S1" s="4" t="s">
        <v>91</v>
      </c>
      <c r="T1" s="4" t="s">
        <v>92</v>
      </c>
      <c r="U1" s="4" t="s">
        <v>93</v>
      </c>
      <c r="V1" s="4" t="s">
        <v>83</v>
      </c>
      <c r="W1" s="4" t="s">
        <v>84</v>
      </c>
      <c r="X1" s="4" t="s">
        <v>85</v>
      </c>
      <c r="Y1" s="4" t="s">
        <v>86</v>
      </c>
      <c r="Z1" s="4" t="s">
        <v>87</v>
      </c>
      <c r="AA1" s="4" t="s">
        <v>12</v>
      </c>
    </row>
    <row r="2" spans="1:27">
      <c r="A2" s="2" t="s">
        <v>40</v>
      </c>
      <c r="B2" s="2" t="s">
        <v>61</v>
      </c>
      <c r="C2" s="2" t="s">
        <v>41</v>
      </c>
      <c r="F2" s="2" t="s">
        <v>46</v>
      </c>
    </row>
  </sheetData>
  <phoneticPr fontId="2" type="noConversion"/>
  <pageMargins left="0.7" right="0.7" top="0.75" bottom="0.75" header="0.3" footer="0.3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97E40-9A74-4E0F-9BA2-5E4CABEF5D2D}">
  <sheetPr codeName="Sheet13"/>
  <dimension ref="A1:AO13"/>
  <sheetViews>
    <sheetView rightToLeft="1" workbookViewId="0">
      <pane ySplit="2" topLeftCell="A3" activePane="bottomLeft" state="frozen"/>
      <selection activeCell="H1" sqref="H1"/>
      <selection pane="bottomLeft" activeCell="C3" sqref="C3"/>
    </sheetView>
  </sheetViews>
  <sheetFormatPr defaultColWidth="8.69921875" defaultRowHeight="15.6"/>
  <cols>
    <col min="1" max="1" width="12.5" style="2" bestFit="1" customWidth="1"/>
    <col min="2" max="2" width="11.69921875" style="2" bestFit="1" customWidth="1"/>
    <col min="3" max="3" width="12.69921875" style="2" bestFit="1" customWidth="1"/>
    <col min="4" max="4" width="19.69921875" style="2" bestFit="1" customWidth="1"/>
    <col min="5" max="5" width="6.69921875" style="2" bestFit="1" customWidth="1"/>
    <col min="6" max="6" width="7.3984375" style="2" bestFit="1" customWidth="1"/>
    <col min="7" max="7" width="14" style="2" bestFit="1" customWidth="1"/>
    <col min="8" max="8" width="16.09765625" style="2" bestFit="1" customWidth="1"/>
    <col min="9" max="9" width="19.5" style="2" bestFit="1" customWidth="1"/>
    <col min="10" max="10" width="8.59765625" style="2" bestFit="1" customWidth="1"/>
    <col min="11" max="13" width="9.59765625" style="2" bestFit="1" customWidth="1"/>
    <col min="14" max="14" width="13.19921875" style="2" bestFit="1" customWidth="1"/>
    <col min="15" max="15" width="11.19921875" style="2" bestFit="1" customWidth="1"/>
    <col min="16" max="16" width="13.69921875" style="2" bestFit="1" customWidth="1"/>
    <col min="17" max="17" width="12.19921875" style="2" bestFit="1" customWidth="1"/>
    <col min="18" max="18" width="10.19921875" style="2" bestFit="1" customWidth="1"/>
    <col min="19" max="19" width="22.19921875" style="2" bestFit="1" customWidth="1"/>
    <col min="20" max="20" width="14.3984375" style="2" bestFit="1" customWidth="1"/>
    <col min="21" max="21" width="11.69921875" style="2" bestFit="1" customWidth="1"/>
    <col min="22" max="22" width="20.69921875" style="2" bestFit="1" customWidth="1"/>
    <col min="23" max="23" width="11.69921875" style="2" bestFit="1" customWidth="1"/>
    <col min="24" max="24" width="9.59765625" style="2" customWidth="1"/>
    <col min="25" max="27" width="8.69921875" style="2"/>
    <col min="28" max="28" width="13.796875" style="2" customWidth="1"/>
    <col min="29" max="29" width="17.09765625" style="2" customWidth="1"/>
    <col min="30" max="33" width="8.69921875" style="2"/>
    <col min="34" max="34" width="11.09765625" style="2" customWidth="1"/>
    <col min="35" max="35" width="8.8984375" style="2" customWidth="1"/>
    <col min="36" max="36" width="11.3984375" style="2" customWidth="1"/>
    <col min="37" max="37" width="10" style="2" customWidth="1"/>
    <col min="38" max="38" width="8.69921875" style="2"/>
    <col min="39" max="39" width="19.8984375" style="2" customWidth="1"/>
    <col min="40" max="40" width="12.09765625" style="2" customWidth="1"/>
    <col min="41" max="41" width="9.5" style="2" customWidth="1"/>
    <col min="42" max="16384" width="8.69921875" style="2"/>
  </cols>
  <sheetData>
    <row r="1" spans="1:41">
      <c r="J1" s="115" t="s">
        <v>101</v>
      </c>
      <c r="K1" s="115"/>
      <c r="L1" s="115"/>
      <c r="M1" s="115"/>
      <c r="N1" s="116" t="s">
        <v>104</v>
      </c>
      <c r="O1" s="116"/>
      <c r="P1" s="117" t="s">
        <v>106</v>
      </c>
      <c r="Q1" s="117"/>
      <c r="R1" s="118" t="s">
        <v>111</v>
      </c>
      <c r="S1" s="118"/>
      <c r="T1" s="3" t="s">
        <v>112</v>
      </c>
    </row>
    <row r="2" spans="1:41">
      <c r="A2" s="2" t="s">
        <v>39</v>
      </c>
      <c r="B2" s="2" t="s">
        <v>3</v>
      </c>
      <c r="C2" s="2" t="s">
        <v>94</v>
      </c>
      <c r="D2" s="2" t="s">
        <v>47</v>
      </c>
      <c r="E2" s="2" t="s">
        <v>5</v>
      </c>
      <c r="F2" s="2" t="s">
        <v>6</v>
      </c>
      <c r="G2" s="2" t="s">
        <v>455</v>
      </c>
      <c r="H2" s="2" t="s">
        <v>95</v>
      </c>
      <c r="I2" s="2" t="s">
        <v>96</v>
      </c>
      <c r="J2" s="2" t="s">
        <v>97</v>
      </c>
      <c r="K2" s="2" t="s">
        <v>98</v>
      </c>
      <c r="L2" s="2" t="s">
        <v>99</v>
      </c>
      <c r="M2" s="2" t="s">
        <v>100</v>
      </c>
      <c r="N2" s="2" t="s">
        <v>102</v>
      </c>
      <c r="O2" s="2" t="s">
        <v>103</v>
      </c>
      <c r="P2" s="2" t="s">
        <v>105</v>
      </c>
      <c r="Q2" s="2" t="s">
        <v>107</v>
      </c>
      <c r="R2" s="2" t="s">
        <v>108</v>
      </c>
      <c r="S2" s="2" t="s">
        <v>109</v>
      </c>
      <c r="T2" s="2" t="s">
        <v>110</v>
      </c>
      <c r="U2" s="2" t="s">
        <v>113</v>
      </c>
      <c r="V2" s="2" t="s">
        <v>114</v>
      </c>
      <c r="W2" s="2" t="s">
        <v>12</v>
      </c>
      <c r="Z2" s="37" t="s">
        <v>5</v>
      </c>
      <c r="AA2" s="37" t="s">
        <v>6</v>
      </c>
      <c r="AB2" s="37" t="s">
        <v>95</v>
      </c>
      <c r="AC2" s="37" t="s">
        <v>96</v>
      </c>
      <c r="AD2" s="37" t="s">
        <v>97</v>
      </c>
      <c r="AE2" s="37" t="s">
        <v>98</v>
      </c>
      <c r="AF2" s="37" t="s">
        <v>99</v>
      </c>
      <c r="AG2" s="37" t="s">
        <v>100</v>
      </c>
      <c r="AH2" s="37" t="s">
        <v>102</v>
      </c>
      <c r="AI2" s="37" t="s">
        <v>103</v>
      </c>
      <c r="AJ2" s="37" t="s">
        <v>105</v>
      </c>
      <c r="AK2" s="37" t="s">
        <v>107</v>
      </c>
      <c r="AL2" s="37" t="s">
        <v>108</v>
      </c>
      <c r="AM2" s="37" t="s">
        <v>109</v>
      </c>
      <c r="AN2" s="37" t="s">
        <v>110</v>
      </c>
      <c r="AO2" s="37" t="s">
        <v>113</v>
      </c>
    </row>
    <row r="3" spans="1:41">
      <c r="A3" s="2" t="s">
        <v>242</v>
      </c>
      <c r="B3" s="2">
        <v>4420987654</v>
      </c>
      <c r="C3" s="2" t="s">
        <v>217</v>
      </c>
      <c r="D3" s="2" t="s">
        <v>474</v>
      </c>
      <c r="E3" s="2">
        <v>182</v>
      </c>
      <c r="F3" s="2">
        <v>78</v>
      </c>
      <c r="G3" s="2" t="str" cm="1">
        <f t="array" ref="G3">_xlfn.LET(_xlpm.bmi, ROUND(F3/(E3/100)^2,2), _xlpm.bmi &amp; " - " &amp; _xlfn.IFS(_xlpm.bmi&lt;18.5,"کم وزن", _xlpm.bmi&lt;25,"نرمال", _xlpm.bmi&lt;30,"اضافه وزن", _xlpm.bmi&lt;35,"چاقی درجه 1", _xlpm.bmi&lt;40,"چاقی درجه 2", TRUE,"چاقی مفرط"))</f>
        <v>23.55 - نرمال</v>
      </c>
      <c r="H3" s="38">
        <v>0.115</v>
      </c>
      <c r="I3" s="2">
        <v>52</v>
      </c>
      <c r="J3" s="2">
        <v>1.02</v>
      </c>
      <c r="K3" s="2">
        <v>1.75</v>
      </c>
      <c r="L3" s="2">
        <v>2.9</v>
      </c>
      <c r="M3" s="2">
        <v>4.1500000000000004</v>
      </c>
      <c r="N3" s="2">
        <v>58</v>
      </c>
      <c r="O3" s="2">
        <v>290</v>
      </c>
      <c r="P3" s="2">
        <v>1640</v>
      </c>
      <c r="Q3" s="2">
        <v>56.4</v>
      </c>
      <c r="R3" s="2">
        <v>485</v>
      </c>
      <c r="S3" s="2">
        <v>125</v>
      </c>
      <c r="T3" s="2" t="s">
        <v>243</v>
      </c>
      <c r="U3" s="2">
        <v>9.1999999999999993</v>
      </c>
    </row>
    <row r="4" spans="1:41">
      <c r="A4" s="2" t="s">
        <v>247</v>
      </c>
      <c r="B4" s="2">
        <v>5031987432</v>
      </c>
      <c r="C4" s="2" t="s">
        <v>217</v>
      </c>
      <c r="D4" s="2" t="s">
        <v>474</v>
      </c>
      <c r="E4" s="2">
        <v>176</v>
      </c>
      <c r="F4" s="2">
        <v>84</v>
      </c>
      <c r="G4" s="2" t="str" cm="1">
        <f t="array" ref="G4">_xlfn.LET(_xlpm.bmi, ROUND(F4/(E4/100)^2,2), _xlpm.bmi &amp; " - " &amp; _xlfn.IFS(_xlpm.bmi&lt;18.5,"کم وزن", _xlpm.bmi&lt;25,"نرمال", _xlpm.bmi&lt;30,"اضافه وزن", _xlpm.bmi&lt;35,"چاقی درجه 1", _xlpm.bmi&lt;40,"چاقی درجه 2", TRUE,"چاقی مفرط"))</f>
        <v>27.12 - اضافه وزن</v>
      </c>
      <c r="H4" s="2">
        <v>10.8</v>
      </c>
      <c r="I4" s="2">
        <v>58</v>
      </c>
      <c r="J4" s="2">
        <v>1.05</v>
      </c>
      <c r="K4" s="2">
        <v>1.8</v>
      </c>
      <c r="L4" s="2">
        <v>2.95</v>
      </c>
      <c r="M4" s="2">
        <v>4.2</v>
      </c>
      <c r="N4" s="2">
        <v>62</v>
      </c>
      <c r="O4" s="2">
        <v>285</v>
      </c>
      <c r="P4" s="2">
        <v>1520</v>
      </c>
      <c r="Q4" s="2">
        <v>54.1</v>
      </c>
      <c r="R4" s="2">
        <v>510</v>
      </c>
      <c r="S4" s="2">
        <v>130</v>
      </c>
      <c r="T4" s="2">
        <v>30</v>
      </c>
      <c r="U4" s="2">
        <v>8.8000000000000007</v>
      </c>
    </row>
    <row r="5" spans="1:41">
      <c r="A5" s="2" t="s">
        <v>248</v>
      </c>
      <c r="B5" s="2">
        <v>3876543210</v>
      </c>
      <c r="C5" s="2" t="s">
        <v>217</v>
      </c>
      <c r="D5" s="2" t="s">
        <v>474</v>
      </c>
      <c r="E5" s="2">
        <v>185</v>
      </c>
      <c r="F5" s="2">
        <v>82</v>
      </c>
      <c r="G5" s="2" t="str" cm="1">
        <f t="array" ref="G5">_xlfn.LET(_xlpm.bmi, ROUND(F5/(E5/100)^2,2), _xlpm.bmi &amp; " - " &amp; _xlfn.IFS(_xlpm.bmi&lt;18.5,"کم وزن", _xlpm.bmi&lt;25,"نرمال", _xlpm.bmi&lt;30,"اضافه وزن", _xlpm.bmi&lt;35,"چاقی درجه 1", _xlpm.bmi&lt;40,"چاقی درجه 2", TRUE,"چاقی مفرط"))</f>
        <v>23.96 - نرمال</v>
      </c>
      <c r="H5" s="2">
        <v>13.2</v>
      </c>
      <c r="I5" s="2">
        <v>48</v>
      </c>
      <c r="J5" s="2">
        <v>1.1000000000000001</v>
      </c>
      <c r="K5" s="2">
        <v>1.85</v>
      </c>
      <c r="L5" s="2">
        <v>3</v>
      </c>
      <c r="M5" s="2">
        <v>4.3</v>
      </c>
      <c r="N5" s="2">
        <v>54</v>
      </c>
      <c r="O5" s="2">
        <v>275</v>
      </c>
      <c r="P5" s="2">
        <v>1760</v>
      </c>
      <c r="Q5" s="2">
        <v>58</v>
      </c>
      <c r="R5" s="2">
        <v>525</v>
      </c>
      <c r="S5" s="2">
        <v>140</v>
      </c>
      <c r="T5" s="2" t="s">
        <v>244</v>
      </c>
      <c r="U5" s="2">
        <v>9</v>
      </c>
    </row>
    <row r="6" spans="1:41">
      <c r="A6" s="2" t="s">
        <v>249</v>
      </c>
      <c r="B6" s="2">
        <v>6189076543</v>
      </c>
      <c r="C6" s="2" t="s">
        <v>217</v>
      </c>
      <c r="D6" s="2" t="s">
        <v>474</v>
      </c>
      <c r="E6" s="2">
        <v>179</v>
      </c>
      <c r="F6" s="2">
        <v>76</v>
      </c>
      <c r="G6" s="2" t="str" cm="1">
        <f t="array" ref="G6">_xlfn.LET(_xlpm.bmi, ROUND(F6/(E6/100)^2,2), _xlpm.bmi &amp; " - " &amp; _xlfn.IFS(_xlpm.bmi&lt;18.5,"کم وزن", _xlpm.bmi&lt;25,"نرمال", _xlpm.bmi&lt;30,"اضافه وزن", _xlpm.bmi&lt;35,"چاقی درجه 1", _xlpm.bmi&lt;40,"چاقی درجه 2", TRUE,"چاقی مفرط"))</f>
        <v>23.72 - نرمال</v>
      </c>
      <c r="H6" s="2">
        <v>9.5</v>
      </c>
      <c r="I6" s="2">
        <v>55</v>
      </c>
      <c r="J6" s="2">
        <v>0.98</v>
      </c>
      <c r="K6" s="2">
        <v>1.7</v>
      </c>
      <c r="L6" s="2">
        <v>2.85</v>
      </c>
      <c r="M6" s="2">
        <v>4.05</v>
      </c>
      <c r="N6" s="2">
        <v>65</v>
      </c>
      <c r="O6" s="2">
        <v>300</v>
      </c>
      <c r="P6" s="2">
        <v>1800</v>
      </c>
      <c r="Q6" s="2">
        <v>59.5</v>
      </c>
      <c r="R6" s="2">
        <v>490</v>
      </c>
      <c r="S6" s="2">
        <v>115</v>
      </c>
      <c r="T6" s="2" t="s">
        <v>245</v>
      </c>
      <c r="U6" s="2">
        <v>9.6999999999999993</v>
      </c>
    </row>
    <row r="7" spans="1:41">
      <c r="A7" s="2" t="s">
        <v>250</v>
      </c>
      <c r="B7" s="2">
        <v>2954321876</v>
      </c>
      <c r="C7" s="2" t="s">
        <v>217</v>
      </c>
      <c r="D7" s="2" t="s">
        <v>490</v>
      </c>
      <c r="E7" s="2">
        <v>170</v>
      </c>
      <c r="F7" s="2">
        <v>68</v>
      </c>
      <c r="G7" s="2" t="str" cm="1">
        <f t="array" ref="G7">_xlfn.LET(_xlpm.bmi, ROUND(F7/(E7/100)^2,2), _xlpm.bmi &amp; " - " &amp; _xlfn.IFS(_xlpm.bmi&lt;18.5,"کم وزن", _xlpm.bmi&lt;25,"نرمال", _xlpm.bmi&lt;30,"اضافه وزن", _xlpm.bmi&lt;35,"چاقی درجه 1", _xlpm.bmi&lt;40,"چاقی درجه 2", TRUE,"چاقی مفرط"))</f>
        <v>23.53 - نرمال</v>
      </c>
      <c r="H7" s="2">
        <v>12</v>
      </c>
      <c r="I7" s="2">
        <v>60</v>
      </c>
      <c r="J7" s="2">
        <v>1.08</v>
      </c>
      <c r="K7" s="2">
        <v>1.82</v>
      </c>
      <c r="L7" s="2">
        <v>2.98</v>
      </c>
      <c r="M7" s="2">
        <v>4.25</v>
      </c>
      <c r="N7" s="2">
        <v>52</v>
      </c>
      <c r="O7" s="2">
        <v>265</v>
      </c>
      <c r="P7" s="2">
        <v>1480</v>
      </c>
      <c r="Q7" s="2">
        <v>52.8</v>
      </c>
      <c r="R7" s="2">
        <v>460</v>
      </c>
      <c r="S7" s="2">
        <v>120</v>
      </c>
      <c r="T7" s="2">
        <v>34</v>
      </c>
      <c r="U7" s="2">
        <v>8.5</v>
      </c>
    </row>
    <row r="8" spans="1:41">
      <c r="A8" s="2" t="s">
        <v>251</v>
      </c>
      <c r="B8" s="2">
        <v>7321890543</v>
      </c>
      <c r="C8" s="2" t="s">
        <v>217</v>
      </c>
      <c r="D8" s="2" t="s">
        <v>490</v>
      </c>
      <c r="E8" s="2">
        <v>188</v>
      </c>
      <c r="F8" s="2">
        <v>85</v>
      </c>
      <c r="G8" s="2" t="str" cm="1">
        <f t="array" ref="G8">_xlfn.LET(_xlpm.bmi, ROUND(F8/(E8/100)^2,2), _xlpm.bmi &amp; " - " &amp; _xlfn.IFS(_xlpm.bmi&lt;18.5,"کم وزن", _xlpm.bmi&lt;25,"نرمال", _xlpm.bmi&lt;30,"اضافه وزن", _xlpm.bmi&lt;35,"چاقی درجه 1", _xlpm.bmi&lt;40,"چاقی درجه 2", TRUE,"چاقی مفرط"))</f>
        <v>24.05 - نرمال</v>
      </c>
      <c r="H8" s="2">
        <v>14</v>
      </c>
      <c r="I8" s="2">
        <v>45</v>
      </c>
      <c r="J8" s="2">
        <v>1.1200000000000001</v>
      </c>
      <c r="K8" s="2">
        <v>1.9</v>
      </c>
      <c r="L8" s="2">
        <v>3.05</v>
      </c>
      <c r="M8" s="2">
        <v>4.4000000000000004</v>
      </c>
      <c r="N8" s="2">
        <v>50</v>
      </c>
      <c r="O8" s="2">
        <v>270</v>
      </c>
      <c r="P8" s="2">
        <v>1700</v>
      </c>
      <c r="Q8" s="2">
        <v>57.2</v>
      </c>
      <c r="R8" s="2">
        <v>540</v>
      </c>
      <c r="S8" s="2">
        <v>135</v>
      </c>
      <c r="T8" s="2" t="s">
        <v>246</v>
      </c>
      <c r="U8" s="2">
        <v>8.1999999999999993</v>
      </c>
    </row>
    <row r="9" spans="1:41">
      <c r="A9" s="2" t="s">
        <v>252</v>
      </c>
      <c r="B9" s="2">
        <v>8456732190</v>
      </c>
      <c r="C9" s="2" t="s">
        <v>217</v>
      </c>
      <c r="D9" s="2" t="s">
        <v>490</v>
      </c>
      <c r="E9" s="2">
        <v>174</v>
      </c>
      <c r="F9" s="2">
        <v>72</v>
      </c>
      <c r="G9" s="2" t="str" cm="1">
        <f t="array" ref="G9">_xlfn.LET(_xlpm.bmi, ROUND(F9/(E9/100)^2,2), _xlpm.bmi &amp; " - " &amp; _xlfn.IFS(_xlpm.bmi&lt;18.5,"کم وزن", _xlpm.bmi&lt;25,"نرمال", _xlpm.bmi&lt;30,"اضافه وزن", _xlpm.bmi&lt;35,"چاقی درجه 1", _xlpm.bmi&lt;40,"چاقی درجه 2", TRUE,"چاقی مفرط"))</f>
        <v>23.78 - نرمال</v>
      </c>
      <c r="H9" s="2">
        <v>10</v>
      </c>
      <c r="I9" s="2">
        <v>50</v>
      </c>
      <c r="J9" s="2">
        <v>1</v>
      </c>
      <c r="K9" s="2">
        <v>1.72</v>
      </c>
      <c r="L9" s="2">
        <v>2.88</v>
      </c>
      <c r="M9" s="2">
        <v>4.0999999999999996</v>
      </c>
      <c r="N9" s="2">
        <v>60</v>
      </c>
      <c r="O9" s="2">
        <v>295</v>
      </c>
      <c r="P9" s="2">
        <v>1720</v>
      </c>
      <c r="Q9" s="2">
        <v>58.8</v>
      </c>
      <c r="R9" s="2">
        <v>500</v>
      </c>
      <c r="S9" s="2">
        <v>128</v>
      </c>
      <c r="T9" s="2">
        <v>33</v>
      </c>
      <c r="U9" s="2">
        <v>9.5</v>
      </c>
    </row>
    <row r="10" spans="1:41">
      <c r="A10" s="2" t="s">
        <v>253</v>
      </c>
      <c r="B10" s="2">
        <v>1604987325</v>
      </c>
      <c r="C10" s="2" t="s">
        <v>217</v>
      </c>
      <c r="D10" s="2" t="s">
        <v>490</v>
      </c>
      <c r="E10" s="2">
        <v>180</v>
      </c>
      <c r="F10" s="2">
        <v>79</v>
      </c>
      <c r="G10" s="2" t="str" cm="1">
        <f t="array" ref="G10">_xlfn.LET(_xlpm.bmi, ROUND(F10/(E10/100)^2,2), _xlpm.bmi &amp; " - " &amp; _xlfn.IFS(_xlpm.bmi&lt;18.5,"کم وزن", _xlpm.bmi&lt;25,"نرمال", _xlpm.bmi&lt;30,"اضافه وزن", _xlpm.bmi&lt;35,"چاقی درجه 1", _xlpm.bmi&lt;40,"چاقی درجه 2", TRUE,"چاقی مفرط"))</f>
        <v>24.38 - نرمال</v>
      </c>
      <c r="H10" s="2">
        <v>12.5</v>
      </c>
      <c r="I10" s="2">
        <v>56</v>
      </c>
      <c r="J10" s="2">
        <v>1.06</v>
      </c>
      <c r="K10" s="2">
        <v>1.78</v>
      </c>
      <c r="L10" s="2">
        <v>2.92</v>
      </c>
      <c r="M10" s="2">
        <v>4.18</v>
      </c>
      <c r="N10" s="2">
        <v>56</v>
      </c>
      <c r="O10" s="2">
        <v>280</v>
      </c>
      <c r="P10" s="2">
        <v>1580</v>
      </c>
      <c r="Q10" s="2">
        <v>55</v>
      </c>
      <c r="R10" s="2">
        <v>475</v>
      </c>
      <c r="S10" s="2">
        <v>132</v>
      </c>
      <c r="T10" s="2">
        <v>31</v>
      </c>
      <c r="U10" s="2">
        <v>8.9</v>
      </c>
    </row>
    <row r="11" spans="1:41">
      <c r="A11" s="2" t="s">
        <v>254</v>
      </c>
      <c r="B11" s="2">
        <v>9543216780</v>
      </c>
      <c r="C11" s="2" t="s">
        <v>217</v>
      </c>
      <c r="D11" s="2" t="s">
        <v>503</v>
      </c>
      <c r="E11" s="2">
        <v>178</v>
      </c>
      <c r="F11" s="2">
        <v>75</v>
      </c>
      <c r="G11" s="2" t="str" cm="1">
        <f t="array" ref="G11">_xlfn.LET(_xlpm.bmi, ROUND(F11/(E11/100)^2,2), _xlpm.bmi &amp; " - " &amp; _xlfn.IFS(_xlpm.bmi&lt;18.5,"کم وزن", _xlpm.bmi&lt;25,"نرمال", _xlpm.bmi&lt;30,"اضافه وزن", _xlpm.bmi&lt;35,"چاقی درجه 1", _xlpm.bmi&lt;40,"چاقی درجه 2", TRUE,"چاقی مفرط"))</f>
        <v>23.67 - نرمال</v>
      </c>
      <c r="H11" s="2">
        <v>11</v>
      </c>
      <c r="I11" s="2">
        <v>53</v>
      </c>
      <c r="J11" s="2">
        <v>1.04</v>
      </c>
      <c r="K11" s="2">
        <v>1.76</v>
      </c>
      <c r="L11" s="2">
        <v>2.91</v>
      </c>
      <c r="M11" s="2">
        <v>4.12</v>
      </c>
      <c r="N11" s="2">
        <v>59</v>
      </c>
      <c r="O11" s="2">
        <v>288</v>
      </c>
      <c r="P11" s="2">
        <v>1650</v>
      </c>
      <c r="Q11" s="2">
        <v>56.9</v>
      </c>
      <c r="R11" s="2">
        <v>505</v>
      </c>
      <c r="S11" s="2">
        <v>122</v>
      </c>
      <c r="T11" s="2">
        <v>32</v>
      </c>
      <c r="U11" s="2">
        <v>9.1</v>
      </c>
    </row>
    <row r="12" spans="1:41">
      <c r="A12" s="2" t="s">
        <v>441</v>
      </c>
      <c r="B12" s="2">
        <v>3876543210</v>
      </c>
      <c r="C12" s="2" t="s">
        <v>442</v>
      </c>
      <c r="D12" s="2" t="s">
        <v>503</v>
      </c>
      <c r="E12" s="2">
        <v>185</v>
      </c>
      <c r="F12" s="2">
        <v>80</v>
      </c>
      <c r="G12" s="2" t="str" cm="1">
        <f t="array" ref="G12">_xlfn.LET(_xlpm.bmi, ROUND(F12/(E12/100)^2,2), _xlpm.bmi &amp; " - " &amp; _xlfn.IFS(_xlpm.bmi&lt;18.5,"کم وزن", _xlpm.bmi&lt;25,"نرمال", _xlpm.bmi&lt;30,"اضافه وزن", _xlpm.bmi&lt;35,"چاقی درجه 1", _xlpm.bmi&lt;40,"چاقی درجه 2", TRUE,"چاقی مفرط"))</f>
        <v>23.37 - نرمال</v>
      </c>
      <c r="H12" s="2">
        <v>12.5</v>
      </c>
      <c r="I12" s="2">
        <v>56</v>
      </c>
      <c r="J12" s="2">
        <v>1.06</v>
      </c>
      <c r="K12" s="2">
        <v>1.78</v>
      </c>
      <c r="L12" s="2">
        <v>2.92</v>
      </c>
      <c r="M12" s="2">
        <v>4.18</v>
      </c>
      <c r="N12" s="2">
        <v>56</v>
      </c>
      <c r="O12" s="2">
        <v>280</v>
      </c>
      <c r="P12" s="2">
        <v>1580</v>
      </c>
      <c r="Q12" s="2">
        <v>55</v>
      </c>
      <c r="R12" s="2">
        <v>475</v>
      </c>
      <c r="S12" s="2">
        <v>132</v>
      </c>
      <c r="T12" s="2">
        <v>31</v>
      </c>
      <c r="U12" s="2">
        <v>9.1</v>
      </c>
    </row>
    <row r="13" spans="1:41">
      <c r="A13" s="2" t="s">
        <v>752</v>
      </c>
      <c r="B13" s="2">
        <v>9543216780</v>
      </c>
      <c r="C13" s="2" t="s">
        <v>751</v>
      </c>
      <c r="D13" s="2" t="s">
        <v>528</v>
      </c>
      <c r="E13" s="2">
        <v>185</v>
      </c>
      <c r="F13" s="2">
        <v>82</v>
      </c>
      <c r="G13" s="140" t="str" cm="1">
        <f t="array" ref="G13">_xlfn.LET(_xlpm.bmi, ROUND(F13/(E13/100)^2,2), _xlpm.bmi &amp; " - " &amp; _xlfn.IFS(_xlpm.bmi&lt;18.5,"کم وزن", _xlpm.bmi&lt;25,"نرمال", _xlpm.bmi&lt;30,"اضافه وزن", _xlpm.bmi&lt;35,"چاقی درجه 1", _xlpm.bmi&lt;40,"چاقی درجه 2", TRUE,"چاقی مفرط"))</f>
        <v>23.96 - نرمال</v>
      </c>
      <c r="H13" s="2">
        <v>10.8</v>
      </c>
      <c r="I13" s="2">
        <v>52</v>
      </c>
      <c r="J13" s="2">
        <v>1.1000000000000001</v>
      </c>
      <c r="K13" s="2">
        <v>1.75</v>
      </c>
      <c r="L13" s="2">
        <v>2.8</v>
      </c>
      <c r="M13" s="2">
        <v>4.25</v>
      </c>
      <c r="N13" s="2">
        <v>51</v>
      </c>
      <c r="O13" s="2">
        <v>273</v>
      </c>
      <c r="P13" s="2">
        <v>1710</v>
      </c>
      <c r="Q13" s="2">
        <v>52.8</v>
      </c>
      <c r="R13" s="2">
        <v>450</v>
      </c>
      <c r="S13" s="2">
        <v>140</v>
      </c>
      <c r="T13" s="2">
        <v>32</v>
      </c>
      <c r="U13" s="2">
        <v>8.6</v>
      </c>
    </row>
  </sheetData>
  <mergeCells count="4">
    <mergeCell ref="J1:M1"/>
    <mergeCell ref="N1:O1"/>
    <mergeCell ref="P1:Q1"/>
    <mergeCell ref="R1:S1"/>
  </mergeCells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C962C-8710-44DC-BBD2-22051142C7CE}">
  <sheetPr codeName="Sheet14"/>
  <dimension ref="A1:AN2"/>
  <sheetViews>
    <sheetView rightToLeft="1" workbookViewId="0">
      <pane ySplit="2" topLeftCell="A3" activePane="bottomLeft" state="frozen"/>
      <selection activeCell="F1" sqref="F1"/>
      <selection pane="bottomLeft" activeCell="A2" sqref="A2"/>
    </sheetView>
  </sheetViews>
  <sheetFormatPr defaultColWidth="7.69921875" defaultRowHeight="15.6"/>
  <cols>
    <col min="1" max="1" width="11.59765625" style="2" bestFit="1" customWidth="1"/>
    <col min="2" max="2" width="10.59765625" style="2" bestFit="1" customWidth="1"/>
    <col min="3" max="3" width="9.19921875" style="2" bestFit="1" customWidth="1"/>
    <col min="4" max="4" width="15.5" style="2" bestFit="1" customWidth="1"/>
    <col min="5" max="5" width="20.5" style="2" bestFit="1" customWidth="1"/>
    <col min="6" max="6" width="14.69921875" style="2" bestFit="1" customWidth="1"/>
    <col min="7" max="7" width="9.19921875" style="2" bestFit="1" customWidth="1"/>
    <col min="8" max="8" width="7.69921875" style="2" bestFit="1" customWidth="1"/>
    <col min="9" max="10" width="8.69921875" style="2" bestFit="1" customWidth="1"/>
    <col min="11" max="11" width="12.5" style="2" bestFit="1" customWidth="1"/>
    <col min="12" max="12" width="11" style="2" bestFit="1" customWidth="1"/>
    <col min="13" max="13" width="10.69921875" style="2" bestFit="1" customWidth="1"/>
    <col min="14" max="14" width="9.69921875" style="2" bestFit="1" customWidth="1"/>
    <col min="15" max="16" width="11.19921875" style="2" bestFit="1" customWidth="1"/>
    <col min="17" max="17" width="8.5" style="2" bestFit="1" customWidth="1"/>
    <col min="18" max="18" width="13.69921875" style="2" bestFit="1" customWidth="1"/>
    <col min="19" max="19" width="13.59765625" style="2" bestFit="1" customWidth="1"/>
    <col min="20" max="20" width="12.09765625" style="2" bestFit="1" customWidth="1"/>
    <col min="21" max="21" width="11.19921875" style="2" bestFit="1" customWidth="1"/>
    <col min="22" max="22" width="9.5" style="2" bestFit="1" customWidth="1"/>
    <col min="23" max="23" width="10.5" style="2" bestFit="1" customWidth="1"/>
    <col min="24" max="24" width="11.69921875" style="2" bestFit="1" customWidth="1"/>
    <col min="25" max="25" width="11.5" style="2" bestFit="1" customWidth="1"/>
    <col min="26" max="26" width="7.8984375" style="2" bestFit="1" customWidth="1"/>
    <col min="27" max="27" width="12.8984375" style="2" bestFit="1" customWidth="1"/>
    <col min="28" max="28" width="13.3984375" style="2" bestFit="1" customWidth="1"/>
    <col min="29" max="29" width="8.59765625" style="2" bestFit="1" customWidth="1"/>
    <col min="30" max="30" width="11.59765625" style="2" bestFit="1" customWidth="1"/>
    <col min="31" max="31" width="11.19921875" style="2" bestFit="1" customWidth="1"/>
    <col min="32" max="32" width="9.09765625" style="2" bestFit="1" customWidth="1"/>
    <col min="33" max="33" width="11.5" style="2" bestFit="1" customWidth="1"/>
    <col min="34" max="34" width="7.69921875" style="2" bestFit="1" customWidth="1"/>
    <col min="35" max="35" width="10.69921875" style="2" bestFit="1" customWidth="1"/>
    <col min="36" max="36" width="8.8984375" style="2" bestFit="1" customWidth="1"/>
    <col min="37" max="37" width="12.09765625" style="2" bestFit="1" customWidth="1"/>
    <col min="38" max="38" width="10.69921875" style="2" bestFit="1" customWidth="1"/>
    <col min="39" max="39" width="12.69921875" style="2" bestFit="1" customWidth="1"/>
    <col min="40" max="40" width="10.19921875" style="2" bestFit="1" customWidth="1"/>
    <col min="41" max="16384" width="7.69921875" style="2"/>
  </cols>
  <sheetData>
    <row r="1" spans="1:40">
      <c r="A1" s="121" t="s">
        <v>124</v>
      </c>
      <c r="B1" s="121"/>
      <c r="C1" s="121"/>
      <c r="D1" s="121"/>
      <c r="E1" s="121"/>
      <c r="F1" s="121"/>
      <c r="G1" s="120" t="s">
        <v>125</v>
      </c>
      <c r="H1" s="120"/>
      <c r="I1" s="120"/>
      <c r="J1" s="120"/>
      <c r="K1" s="120"/>
      <c r="L1" s="120"/>
      <c r="M1" s="120"/>
      <c r="N1" s="122" t="s">
        <v>133</v>
      </c>
      <c r="O1" s="122"/>
      <c r="P1" s="122"/>
      <c r="Q1" s="122"/>
      <c r="R1" s="122"/>
      <c r="S1" s="122"/>
      <c r="T1" s="122"/>
      <c r="U1" s="122"/>
      <c r="V1" s="123" t="s">
        <v>134</v>
      </c>
      <c r="W1" s="123"/>
      <c r="X1" s="123"/>
      <c r="Y1" s="123"/>
      <c r="Z1" s="123"/>
      <c r="AA1" s="123"/>
      <c r="AB1" s="123"/>
      <c r="AC1" s="124" t="s">
        <v>153</v>
      </c>
      <c r="AD1" s="124"/>
      <c r="AE1" s="124"/>
      <c r="AF1" s="124"/>
      <c r="AG1" s="124"/>
      <c r="AH1" s="124"/>
      <c r="AI1" s="124"/>
      <c r="AJ1" s="119" t="s">
        <v>154</v>
      </c>
      <c r="AK1" s="119"/>
      <c r="AL1" s="119"/>
      <c r="AM1" s="119"/>
      <c r="AN1" s="119"/>
    </row>
    <row r="2" spans="1:40" s="4" customFormat="1" ht="46.2" customHeight="1">
      <c r="A2" s="4" t="s">
        <v>115</v>
      </c>
      <c r="B2" s="4" t="s">
        <v>3</v>
      </c>
      <c r="C2" s="4" t="s">
        <v>116</v>
      </c>
      <c r="D2" s="4" t="s">
        <v>47</v>
      </c>
      <c r="E2" s="4" t="s">
        <v>60</v>
      </c>
      <c r="F2" s="4" t="s">
        <v>117</v>
      </c>
      <c r="G2" s="4" t="s">
        <v>118</v>
      </c>
      <c r="H2" s="4" t="s">
        <v>119</v>
      </c>
      <c r="I2" s="4" t="s">
        <v>79</v>
      </c>
      <c r="J2" s="4" t="s">
        <v>120</v>
      </c>
      <c r="K2" s="4" t="s">
        <v>121</v>
      </c>
      <c r="L2" s="4" t="s">
        <v>122</v>
      </c>
      <c r="M2" s="4" t="s">
        <v>123</v>
      </c>
      <c r="N2" s="4" t="s">
        <v>126</v>
      </c>
      <c r="O2" s="4" t="s">
        <v>127</v>
      </c>
      <c r="P2" s="4" t="s">
        <v>128</v>
      </c>
      <c r="Q2" s="4" t="s">
        <v>71</v>
      </c>
      <c r="R2" s="4" t="s">
        <v>129</v>
      </c>
      <c r="S2" s="4" t="s">
        <v>130</v>
      </c>
      <c r="T2" s="4" t="s">
        <v>131</v>
      </c>
      <c r="U2" s="4" t="s">
        <v>132</v>
      </c>
      <c r="V2" s="4" t="s">
        <v>135</v>
      </c>
      <c r="W2" s="4" t="s">
        <v>136</v>
      </c>
      <c r="X2" s="4" t="s">
        <v>137</v>
      </c>
      <c r="Y2" s="4" t="s">
        <v>138</v>
      </c>
      <c r="Z2" s="4" t="s">
        <v>139</v>
      </c>
      <c r="AA2" s="4" t="s">
        <v>140</v>
      </c>
      <c r="AB2" s="4" t="s">
        <v>141</v>
      </c>
      <c r="AC2" s="4" t="s">
        <v>142</v>
      </c>
      <c r="AD2" s="4" t="s">
        <v>143</v>
      </c>
      <c r="AE2" s="4" t="s">
        <v>144</v>
      </c>
      <c r="AF2" s="4" t="s">
        <v>145</v>
      </c>
      <c r="AG2" s="4" t="s">
        <v>146</v>
      </c>
      <c r="AH2" s="4" t="s">
        <v>147</v>
      </c>
      <c r="AI2" s="4" t="s">
        <v>148</v>
      </c>
      <c r="AJ2" s="4" t="s">
        <v>149</v>
      </c>
      <c r="AK2" s="4" t="s">
        <v>150</v>
      </c>
      <c r="AL2" s="4" t="s">
        <v>151</v>
      </c>
      <c r="AM2" s="4" t="s">
        <v>152</v>
      </c>
      <c r="AN2" s="4" t="s">
        <v>12</v>
      </c>
    </row>
  </sheetData>
  <mergeCells count="6">
    <mergeCell ref="AJ1:AN1"/>
    <mergeCell ref="G1:M1"/>
    <mergeCell ref="A1:F1"/>
    <mergeCell ref="N1:U1"/>
    <mergeCell ref="V1:AB1"/>
    <mergeCell ref="AC1:AI1"/>
  </mergeCells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CE4BA-49FB-405C-BD4A-934CB5DBA1E0}">
  <sheetPr codeName="Sheet15"/>
  <dimension ref="A1:K1"/>
  <sheetViews>
    <sheetView rightToLeft="1" workbookViewId="0">
      <pane ySplit="1" topLeftCell="A2" activePane="bottomLeft" state="frozen"/>
      <selection pane="bottomLeft" activeCell="A2" sqref="A2"/>
    </sheetView>
  </sheetViews>
  <sheetFormatPr defaultColWidth="8.69921875" defaultRowHeight="15.6"/>
  <cols>
    <col min="1" max="1" width="8.69921875" style="1"/>
    <col min="2" max="2" width="9.59765625" style="1" customWidth="1"/>
    <col min="3" max="3" width="10" style="1" customWidth="1"/>
    <col min="4" max="4" width="8.69921875" style="1"/>
    <col min="5" max="5" width="12.69921875" style="1" customWidth="1"/>
    <col min="6" max="6" width="13.19921875" style="1" customWidth="1"/>
    <col min="7" max="7" width="11.5" style="1" customWidth="1"/>
    <col min="8" max="8" width="10.5" style="1" customWidth="1"/>
    <col min="9" max="9" width="20.19921875" style="1" customWidth="1"/>
    <col min="10" max="10" width="11.19921875" style="1" customWidth="1"/>
    <col min="11" max="11" width="9.59765625" style="1" customWidth="1"/>
    <col min="12" max="16384" width="8.69921875" style="1"/>
  </cols>
  <sheetData>
    <row r="1" spans="1:11">
      <c r="A1" s="1" t="s">
        <v>241</v>
      </c>
      <c r="B1" s="1" t="s">
        <v>3</v>
      </c>
      <c r="C1" s="1" t="s">
        <v>155</v>
      </c>
      <c r="D1" s="1" t="s">
        <v>156</v>
      </c>
      <c r="E1" s="1" t="s">
        <v>157</v>
      </c>
      <c r="F1" s="1" t="s">
        <v>158</v>
      </c>
      <c r="G1" s="1" t="s">
        <v>159</v>
      </c>
      <c r="H1" s="1" t="s">
        <v>160</v>
      </c>
      <c r="I1" s="1" t="s">
        <v>161</v>
      </c>
      <c r="J1" s="1" t="s">
        <v>162</v>
      </c>
      <c r="K1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98254-EC3C-4225-A9BA-C7E7D2D8E846}">
  <sheetPr codeName="Sheet16"/>
  <dimension ref="A1:O1"/>
  <sheetViews>
    <sheetView rightToLeft="1" workbookViewId="0">
      <pane ySplit="1" topLeftCell="A2" activePane="bottomLeft" state="frozen"/>
      <selection pane="bottomLeft" activeCell="J16" sqref="J16"/>
    </sheetView>
  </sheetViews>
  <sheetFormatPr defaultColWidth="8.69921875" defaultRowHeight="15.6"/>
  <cols>
    <col min="1" max="1" width="9.5" style="1" bestFit="1" customWidth="1"/>
    <col min="2" max="2" width="9.59765625" style="1" customWidth="1"/>
    <col min="3" max="3" width="11.19921875" style="1" customWidth="1"/>
    <col min="4" max="4" width="10.69921875" style="1" customWidth="1"/>
    <col min="5" max="5" width="9.69921875" style="1" customWidth="1"/>
    <col min="6" max="6" width="11.19921875" style="1" customWidth="1"/>
    <col min="7" max="7" width="10.69921875" style="1" customWidth="1"/>
    <col min="8" max="8" width="8.69921875" style="1"/>
    <col min="9" max="9" width="10.69921875" style="1" customWidth="1"/>
    <col min="10" max="10" width="14.19921875" style="1" customWidth="1"/>
    <col min="11" max="11" width="12.5" style="1" customWidth="1"/>
    <col min="12" max="12" width="8.69921875" style="1"/>
    <col min="13" max="13" width="11.69921875" style="1" customWidth="1"/>
    <col min="14" max="14" width="8.69921875" style="1"/>
    <col min="15" max="15" width="9.59765625" style="1" customWidth="1"/>
    <col min="16" max="16384" width="8.69921875" style="1"/>
  </cols>
  <sheetData>
    <row r="1" spans="1:15">
      <c r="A1" s="1" t="s">
        <v>163</v>
      </c>
      <c r="B1" s="1" t="s">
        <v>3</v>
      </c>
      <c r="C1" s="1" t="s">
        <v>164</v>
      </c>
      <c r="D1" s="1" t="s">
        <v>165</v>
      </c>
      <c r="E1" s="1" t="s">
        <v>166</v>
      </c>
      <c r="F1" s="1" t="s">
        <v>167</v>
      </c>
      <c r="G1" s="1" t="s">
        <v>168</v>
      </c>
      <c r="H1" s="1" t="s">
        <v>169</v>
      </c>
      <c r="I1" s="1" t="s">
        <v>170</v>
      </c>
      <c r="J1" s="1" t="s">
        <v>171</v>
      </c>
      <c r="K1" s="1" t="s">
        <v>172</v>
      </c>
      <c r="L1" s="1" t="s">
        <v>25</v>
      </c>
      <c r="M1" s="1" t="s">
        <v>26</v>
      </c>
      <c r="N1" s="1" t="s">
        <v>11</v>
      </c>
      <c r="O1" s="1" t="s">
        <v>12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8A40425-76B7-44C4-8517-5440F95848AA}">
          <x14:formula1>
            <xm:f>Lookup!$O$2:$O$4</xm:f>
          </x14:formula1>
          <xm:sqref>N2</xm:sqref>
        </x14:dataValidation>
        <x14:dataValidation type="list" allowBlank="1" showInputMessage="1" showErrorMessage="1" xr:uid="{8CBF07B0-DC9A-4563-AE18-6466E8D295D9}">
          <x14:formula1>
            <xm:f>Lookup!$M$2:$M$4</xm:f>
          </x14:formula1>
          <xm:sqref>F2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F2A60-4DF1-4DA7-94E6-87CDB6E2D065}">
  <sheetPr codeName="Sheet17">
    <tabColor theme="9"/>
  </sheetPr>
  <dimension ref="A1:U37"/>
  <sheetViews>
    <sheetView rightToLeft="1" topLeftCell="O19" workbookViewId="0">
      <selection activeCell="T38" sqref="T38"/>
    </sheetView>
  </sheetViews>
  <sheetFormatPr defaultColWidth="8.69921875" defaultRowHeight="19.2"/>
  <cols>
    <col min="1" max="1" width="15.69921875" style="39" customWidth="1"/>
    <col min="2" max="2" width="4.69921875" style="39" customWidth="1"/>
    <col min="3" max="3" width="15.69921875" style="39" customWidth="1"/>
    <col min="4" max="4" width="4.69921875" style="39" customWidth="1"/>
    <col min="5" max="5" width="15.69921875" style="39" customWidth="1"/>
    <col min="6" max="6" width="4.69921875" style="39" customWidth="1"/>
    <col min="7" max="7" width="15.69921875" style="39" customWidth="1"/>
    <col min="8" max="8" width="4.69921875" style="39" customWidth="1"/>
    <col min="9" max="9" width="15.69921875" style="39" customWidth="1"/>
    <col min="10" max="10" width="4.69921875" style="39" customWidth="1"/>
    <col min="11" max="11" width="15.69921875" style="39" customWidth="1"/>
    <col min="12" max="12" width="4.69921875" style="39" customWidth="1"/>
    <col min="13" max="13" width="15.69921875" style="39" customWidth="1"/>
    <col min="14" max="14" width="17.3984375" style="39" customWidth="1"/>
    <col min="15" max="15" width="15.69921875" style="39" customWidth="1"/>
    <col min="16" max="19" width="8.69921875" style="39"/>
    <col min="20" max="20" width="33.5" style="61" bestFit="1" customWidth="1"/>
    <col min="21" max="16384" width="8.69921875" style="39"/>
  </cols>
  <sheetData>
    <row r="1" spans="1:21">
      <c r="A1" s="39" t="s">
        <v>179</v>
      </c>
      <c r="C1" s="39" t="s">
        <v>33</v>
      </c>
      <c r="E1" s="39" t="s">
        <v>10</v>
      </c>
      <c r="G1" s="39" t="s">
        <v>188</v>
      </c>
      <c r="I1" s="39" t="s">
        <v>192</v>
      </c>
      <c r="K1" s="39" t="s">
        <v>49</v>
      </c>
      <c r="M1" s="39" t="s">
        <v>199</v>
      </c>
      <c r="O1" s="39" t="s">
        <v>203</v>
      </c>
      <c r="T1" s="61" t="s">
        <v>563</v>
      </c>
    </row>
    <row r="2" spans="1:21">
      <c r="A2" s="39" t="s">
        <v>17</v>
      </c>
      <c r="C2" s="39" t="s">
        <v>21</v>
      </c>
      <c r="E2" s="39" t="s">
        <v>180</v>
      </c>
      <c r="G2" s="39" t="s">
        <v>183</v>
      </c>
      <c r="I2" s="39" t="s">
        <v>189</v>
      </c>
      <c r="K2" s="39" t="s">
        <v>193</v>
      </c>
      <c r="M2" s="39" t="s">
        <v>196</v>
      </c>
      <c r="O2" s="39" t="s">
        <v>200</v>
      </c>
      <c r="S2" s="128" t="s">
        <v>564</v>
      </c>
      <c r="T2" s="133" t="s">
        <v>553</v>
      </c>
    </row>
    <row r="3" spans="1:21">
      <c r="A3" s="39" t="s">
        <v>18</v>
      </c>
      <c r="C3" s="39" t="s">
        <v>22</v>
      </c>
      <c r="E3" s="39" t="s">
        <v>181</v>
      </c>
      <c r="G3" s="39" t="s">
        <v>184</v>
      </c>
      <c r="I3" s="39" t="s">
        <v>190</v>
      </c>
      <c r="K3" s="39" t="s">
        <v>194</v>
      </c>
      <c r="M3" s="39" t="s">
        <v>197</v>
      </c>
      <c r="O3" s="39" t="s">
        <v>201</v>
      </c>
      <c r="S3" s="128" t="s">
        <v>565</v>
      </c>
      <c r="T3" s="133" t="s">
        <v>554</v>
      </c>
    </row>
    <row r="4" spans="1:21">
      <c r="A4" s="39" t="s">
        <v>19</v>
      </c>
      <c r="C4" s="39" t="s">
        <v>23</v>
      </c>
      <c r="E4" s="39" t="s">
        <v>182</v>
      </c>
      <c r="G4" s="39" t="s">
        <v>185</v>
      </c>
      <c r="I4" s="39" t="s">
        <v>191</v>
      </c>
      <c r="M4" s="39" t="s">
        <v>198</v>
      </c>
      <c r="O4" s="39" t="s">
        <v>202</v>
      </c>
      <c r="S4" s="128" t="s">
        <v>566</v>
      </c>
      <c r="T4" s="133" t="s">
        <v>555</v>
      </c>
    </row>
    <row r="5" spans="1:21">
      <c r="A5" s="39" t="s">
        <v>20</v>
      </c>
      <c r="C5" s="39" t="s">
        <v>24</v>
      </c>
      <c r="G5" s="39" t="s">
        <v>186</v>
      </c>
      <c r="S5" s="128" t="s">
        <v>567</v>
      </c>
      <c r="T5" s="133" t="s">
        <v>556</v>
      </c>
    </row>
    <row r="6" spans="1:21">
      <c r="C6" s="39" t="s">
        <v>25</v>
      </c>
      <c r="G6" s="39" t="s">
        <v>187</v>
      </c>
      <c r="S6" s="128" t="s">
        <v>568</v>
      </c>
      <c r="T6" s="133" t="s">
        <v>557</v>
      </c>
    </row>
    <row r="7" spans="1:21">
      <c r="C7" s="39" t="s">
        <v>26</v>
      </c>
      <c r="S7" s="128" t="s">
        <v>569</v>
      </c>
      <c r="T7" s="133" t="s">
        <v>558</v>
      </c>
    </row>
    <row r="8" spans="1:21">
      <c r="C8" s="39" t="s">
        <v>27</v>
      </c>
      <c r="S8" s="128" t="s">
        <v>570</v>
      </c>
      <c r="T8" s="133" t="s">
        <v>559</v>
      </c>
    </row>
    <row r="9" spans="1:21">
      <c r="C9" s="39" t="s">
        <v>28</v>
      </c>
      <c r="S9" s="128" t="s">
        <v>571</v>
      </c>
      <c r="T9" s="133" t="s">
        <v>560</v>
      </c>
    </row>
    <row r="10" spans="1:21">
      <c r="C10" s="39" t="s">
        <v>29</v>
      </c>
      <c r="E10" s="43" t="s">
        <v>51</v>
      </c>
      <c r="I10" s="47" t="s">
        <v>52</v>
      </c>
      <c r="N10" s="39" t="s">
        <v>601</v>
      </c>
      <c r="S10" s="128" t="s">
        <v>572</v>
      </c>
      <c r="T10" s="133" t="s">
        <v>561</v>
      </c>
    </row>
    <row r="11" spans="1:21">
      <c r="C11" s="39" t="s">
        <v>30</v>
      </c>
      <c r="D11" s="39" t="s">
        <v>580</v>
      </c>
      <c r="E11" s="44" t="s">
        <v>541</v>
      </c>
      <c r="H11" s="39" t="s">
        <v>574</v>
      </c>
      <c r="I11" s="44" t="s">
        <v>476</v>
      </c>
      <c r="N11" s="39" t="s">
        <v>517</v>
      </c>
      <c r="S11" s="128" t="s">
        <v>573</v>
      </c>
      <c r="T11" s="133" t="s">
        <v>562</v>
      </c>
    </row>
    <row r="12" spans="1:21">
      <c r="C12" s="39" t="s">
        <v>31</v>
      </c>
      <c r="D12" s="39" t="s">
        <v>581</v>
      </c>
      <c r="E12" s="45" t="s">
        <v>542</v>
      </c>
      <c r="H12" s="39" t="s">
        <v>575</v>
      </c>
      <c r="I12" s="45" t="s">
        <v>484</v>
      </c>
      <c r="N12" s="39" t="s">
        <v>195</v>
      </c>
      <c r="S12" s="130" t="s">
        <v>585</v>
      </c>
      <c r="T12" s="133" t="s">
        <v>586</v>
      </c>
    </row>
    <row r="13" spans="1:21">
      <c r="C13" s="39" t="s">
        <v>32</v>
      </c>
      <c r="D13" s="39" t="s">
        <v>582</v>
      </c>
      <c r="E13" s="44" t="s">
        <v>543</v>
      </c>
      <c r="H13" s="39" t="s">
        <v>576</v>
      </c>
      <c r="I13" s="44" t="s">
        <v>546</v>
      </c>
      <c r="N13" s="39" t="s">
        <v>602</v>
      </c>
      <c r="S13" s="130" t="s">
        <v>587</v>
      </c>
      <c r="T13" s="133" t="s">
        <v>588</v>
      </c>
    </row>
    <row r="14" spans="1:21">
      <c r="D14" s="39" t="s">
        <v>583</v>
      </c>
      <c r="E14" s="45" t="s">
        <v>544</v>
      </c>
      <c r="H14" s="39" t="s">
        <v>577</v>
      </c>
      <c r="I14" s="45" t="s">
        <v>547</v>
      </c>
      <c r="N14" s="39" t="s">
        <v>533</v>
      </c>
      <c r="S14" s="39" t="s">
        <v>597</v>
      </c>
      <c r="U14"/>
    </row>
    <row r="15" spans="1:21">
      <c r="D15" s="39" t="s">
        <v>584</v>
      </c>
      <c r="E15" s="46" t="s">
        <v>545</v>
      </c>
      <c r="H15" s="39" t="s">
        <v>578</v>
      </c>
      <c r="I15" s="44" t="s">
        <v>548</v>
      </c>
      <c r="N15" s="39" t="s">
        <v>603</v>
      </c>
      <c r="S15" s="131" t="s">
        <v>598</v>
      </c>
      <c r="T15" s="132" t="s">
        <v>596</v>
      </c>
      <c r="U15" s="60"/>
    </row>
    <row r="16" spans="1:21">
      <c r="H16" s="39" t="s">
        <v>579</v>
      </c>
      <c r="I16" s="48" t="s">
        <v>544</v>
      </c>
      <c r="N16" s="39" t="s">
        <v>600</v>
      </c>
      <c r="S16" s="131" t="s">
        <v>599</v>
      </c>
      <c r="T16" s="132" t="s">
        <v>205</v>
      </c>
      <c r="U16" s="60"/>
    </row>
    <row r="17" spans="14:21">
      <c r="N17" s="39" t="s">
        <v>32</v>
      </c>
      <c r="S17" s="139" t="s">
        <v>607</v>
      </c>
      <c r="T17" s="138" t="s">
        <v>750</v>
      </c>
      <c r="U17" s="60"/>
    </row>
    <row r="18" spans="14:21">
      <c r="S18" s="128" t="s">
        <v>609</v>
      </c>
      <c r="T18" s="129" t="s">
        <v>604</v>
      </c>
      <c r="U18" s="60"/>
    </row>
    <row r="19" spans="14:21">
      <c r="S19" s="128" t="s">
        <v>611</v>
      </c>
      <c r="T19" s="129" t="s">
        <v>605</v>
      </c>
      <c r="U19" s="60"/>
    </row>
    <row r="20" spans="14:21">
      <c r="S20" s="128" t="s">
        <v>613</v>
      </c>
      <c r="T20" s="129" t="s">
        <v>606</v>
      </c>
      <c r="U20" s="60"/>
    </row>
    <row r="21" spans="14:21">
      <c r="S21" s="130" t="s">
        <v>615</v>
      </c>
      <c r="T21" s="129" t="s">
        <v>608</v>
      </c>
      <c r="U21" s="60"/>
    </row>
    <row r="22" spans="14:21">
      <c r="S22" s="128" t="s">
        <v>616</v>
      </c>
      <c r="T22" s="129" t="s">
        <v>610</v>
      </c>
      <c r="U22" s="60"/>
    </row>
    <row r="23" spans="14:21">
      <c r="S23" s="128" t="s">
        <v>617</v>
      </c>
      <c r="T23" s="129" t="s">
        <v>612</v>
      </c>
      <c r="U23" s="60"/>
    </row>
    <row r="24" spans="14:21">
      <c r="S24" s="128" t="s">
        <v>618</v>
      </c>
      <c r="T24" s="129" t="s">
        <v>614</v>
      </c>
    </row>
    <row r="25" spans="14:21">
      <c r="S25" s="126" t="s">
        <v>619</v>
      </c>
      <c r="T25" s="127" t="s">
        <v>726</v>
      </c>
    </row>
    <row r="26" spans="14:21">
      <c r="S26" s="126" t="s">
        <v>727</v>
      </c>
      <c r="T26" s="127" t="s">
        <v>610</v>
      </c>
    </row>
    <row r="27" spans="14:21">
      <c r="S27" s="126" t="s">
        <v>728</v>
      </c>
      <c r="T27" s="127" t="s">
        <v>612</v>
      </c>
    </row>
    <row r="28" spans="14:21">
      <c r="S28" s="128" t="s">
        <v>743</v>
      </c>
      <c r="T28" s="133" t="s">
        <v>754</v>
      </c>
    </row>
    <row r="29" spans="14:21">
      <c r="S29" s="128" t="s">
        <v>744</v>
      </c>
      <c r="T29" s="133" t="s">
        <v>755</v>
      </c>
    </row>
    <row r="30" spans="14:21">
      <c r="S30" s="134" t="s">
        <v>747</v>
      </c>
      <c r="T30" s="135" t="s">
        <v>745</v>
      </c>
    </row>
    <row r="31" spans="14:21">
      <c r="S31" s="136" t="s">
        <v>748</v>
      </c>
      <c r="T31" s="137" t="s">
        <v>746</v>
      </c>
    </row>
    <row r="32" spans="14:21">
      <c r="S32" s="39" t="s">
        <v>749</v>
      </c>
      <c r="T32" s="61" t="s">
        <v>753</v>
      </c>
    </row>
    <row r="33" spans="19:20">
      <c r="S33" s="39" t="s">
        <v>757</v>
      </c>
      <c r="T33" s="61" t="s">
        <v>756</v>
      </c>
    </row>
    <row r="34" spans="19:20">
      <c r="S34" s="39" t="s">
        <v>758</v>
      </c>
      <c r="T34" s="61" t="s">
        <v>762</v>
      </c>
    </row>
    <row r="35" spans="19:20">
      <c r="S35" s="39" t="s">
        <v>759</v>
      </c>
      <c r="T35" s="61" t="s">
        <v>763</v>
      </c>
    </row>
    <row r="36" spans="19:20">
      <c r="S36" s="39" t="s">
        <v>760</v>
      </c>
      <c r="T36" s="61" t="s">
        <v>764</v>
      </c>
    </row>
    <row r="37" spans="19:20">
      <c r="S37" s="39" t="s">
        <v>761</v>
      </c>
      <c r="T37" s="61" t="s">
        <v>765</v>
      </c>
    </row>
  </sheetData>
  <phoneticPr fontId="2" type="noConversion"/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38CF4-064A-4D27-8F32-9F9B30BCE324}">
  <sheetPr codeName="Sheet21">
    <tabColor rgb="FF7030A0"/>
  </sheetPr>
  <dimension ref="A1"/>
  <sheetViews>
    <sheetView rightToLeft="1" workbookViewId="0">
      <selection activeCell="K3" sqref="K3"/>
    </sheetView>
  </sheetViews>
  <sheetFormatPr defaultRowHeight="15.6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9</vt:i4>
      </vt:variant>
    </vt:vector>
  </HeadingPairs>
  <TitlesOfParts>
    <vt:vector size="31" baseType="lpstr">
      <vt:lpstr>HOME</vt:lpstr>
      <vt:lpstr>Players_Management</vt:lpstr>
      <vt:lpstr>Camp_Management</vt:lpstr>
      <vt:lpstr>Fitness_Management</vt:lpstr>
      <vt:lpstr>PlayerProfile</vt:lpstr>
      <vt:lpstr>Photos</vt:lpstr>
      <vt:lpstr>Dashboard</vt:lpstr>
      <vt:lpstr>Players</vt:lpstr>
      <vt:lpstr>Contacts</vt:lpstr>
      <vt:lpstr>Staff</vt:lpstr>
      <vt:lpstr>Clubs</vt:lpstr>
      <vt:lpstr>Player_Club_History</vt:lpstr>
      <vt:lpstr>Camps</vt:lpstr>
      <vt:lpstr>Camp_Attendance</vt:lpstr>
      <vt:lpstr>Matches</vt:lpstr>
      <vt:lpstr>Match_Performance</vt:lpstr>
      <vt:lpstr>Fitness</vt:lpstr>
      <vt:lpstr>Technical Evaluation</vt:lpstr>
      <vt:lpstr>Medical</vt:lpstr>
      <vt:lpstr>Injuries</vt:lpstr>
      <vt:lpstr>Lookup</vt:lpstr>
      <vt:lpstr>FormControls </vt:lpstr>
      <vt:lpstr>FitScoreTbl</vt:lpstr>
      <vt:lpstr>InviteStat</vt:lpstr>
      <vt:lpstr>LastUpdateDate</vt:lpstr>
      <vt:lpstr>MatchPrfTbl</vt:lpstr>
      <vt:lpstr>Pic6189076543</vt:lpstr>
      <vt:lpstr>PlayerProfileSSID</vt:lpstr>
      <vt:lpstr>PresenceStat</vt:lpstr>
      <vt:lpstr>SelectedPlayerID</vt:lpstr>
      <vt:lpstr>TodayDateShamsi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Rohammaster</dc:creator>
  <cp:lastModifiedBy>Rohammaster</cp:lastModifiedBy>
  <cp:lastPrinted>2026-08-12T12:09:47Z</cp:lastPrinted>
  <dcterms:created xsi:type="dcterms:W3CDTF">2026-08-04T11:20:33Z</dcterms:created>
  <dcterms:modified xsi:type="dcterms:W3CDTF">2026-08-28T14:27:08Z</dcterms:modified>
</cp:coreProperties>
</file>